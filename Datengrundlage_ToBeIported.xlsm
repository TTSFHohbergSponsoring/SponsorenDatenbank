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filterPrivacy="1" codeName="DieseArbeitsmappe" defaultThemeVersion="124226"/>
  <xr:revisionPtr revIDLastSave="0" documentId="13_ncr:1_{28AE301A-65F6-4DB6-A1E7-A3FD6ACA7429}" xr6:coauthVersionLast="45" xr6:coauthVersionMax="45" xr10:uidLastSave="{00000000-0000-0000-0000-000000000000}"/>
  <bookViews>
    <workbookView xWindow="-120" yWindow="-120" windowWidth="38640" windowHeight="15840" xr2:uid="{00000000-000D-0000-FFFF-FFFF00000000}"/>
  </bookViews>
  <sheets>
    <sheet name="Protokoll" sheetId="1" r:id="rId1"/>
    <sheet name="Listen" sheetId="2" r:id="rId2"/>
  </sheets>
  <definedNames>
    <definedName name="_xlnm._FilterDatabase" localSheetId="0" hidden="1">Protokoll!$A$3:$EO$89</definedName>
    <definedName name="Buchung">Listen!$C$2:$C$6</definedName>
    <definedName name="_xlnm.Print_Area" localSheetId="0">Protokoll!$A$1:$E$58</definedName>
    <definedName name="_xlnm.Print_Titles" localSheetId="0">Protokoll!$A:$A,Protokoll!#REF!</definedName>
    <definedName name="Personen">Listen!$B$2:$B$10</definedName>
    <definedName name="status">Listen!$D$2:$D$6</definedName>
    <definedName name="Trainingsart">Listen!$A$2:$A$6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2" i="1" l="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2" i="1"/>
  <c r="O2" i="1"/>
  <c r="P2" i="1"/>
  <c r="Q2" i="1"/>
  <c r="R2" i="1"/>
  <c r="T2" i="1"/>
  <c r="N2" i="1"/>
  <c r="I2" i="1"/>
  <c r="H2" i="1"/>
  <c r="G2" i="1"/>
  <c r="F2" i="1"/>
  <c r="A2"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L2" i="1" l="1"/>
  <c r="Z2" i="1" l="1"/>
  <c r="M2" i="1" l="1"/>
  <c r="U2" i="1"/>
  <c r="AB2" i="1" l="1"/>
  <c r="K2" i="1"/>
  <c r="AI2" i="1"/>
  <c r="AH2" i="1"/>
  <c r="AG2" i="1"/>
  <c r="AF2" i="1"/>
  <c r="AE2" i="1"/>
  <c r="AD2" i="1"/>
  <c r="AC2" i="1"/>
  <c r="Y2" i="1"/>
  <c r="X2" i="1"/>
  <c r="W2" i="1"/>
  <c r="V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1" authorId="0" shapeId="0" xr:uid="{EB22D951-F32A-449C-9DC0-8156BCF33B1D}">
      <text>
        <r>
          <rPr>
            <b/>
            <sz val="9"/>
            <color indexed="81"/>
            <rFont val="Segoe UI"/>
            <family val="2"/>
          </rPr>
          <t>x = Kein Sponsor mehr</t>
        </r>
      </text>
    </comment>
    <comment ref="G1" authorId="0" shapeId="0" xr:uid="{CD5DEC6F-0AF7-40BC-9A9F-EF4C5BF4E715}">
      <text>
        <r>
          <rPr>
            <b/>
            <sz val="9"/>
            <color indexed="81"/>
            <rFont val="Segoe UI"/>
            <family val="2"/>
          </rPr>
          <t>x = Ja
leer = nein
- = nicht notwendig</t>
        </r>
      </text>
    </comment>
    <comment ref="H1" authorId="0" shapeId="0" xr:uid="{F6AB26CC-497A-4E2E-AD73-BB4E45D270E3}">
      <text>
        <r>
          <rPr>
            <b/>
            <sz val="9"/>
            <color indexed="81"/>
            <rFont val="Segoe UI"/>
            <family val="2"/>
          </rPr>
          <t>x = Ja
leer = nein
- = nicht notwendig</t>
        </r>
      </text>
    </comment>
    <comment ref="I1" authorId="0" shapeId="0" xr:uid="{7B164E3D-6D69-467A-AFEB-869460F95048}">
      <text>
        <r>
          <rPr>
            <b/>
            <sz val="9"/>
            <color indexed="81"/>
            <rFont val="Segoe UI"/>
            <family val="2"/>
          </rPr>
          <t>J = Ja, das ist ein Sponsor!
N = Nein, das ist in diesem Jahr kein Sponsor!</t>
        </r>
      </text>
    </comment>
    <comment ref="J1" authorId="0" shapeId="0" xr:uid="{FB88E025-64E9-418B-8796-52971478A788}">
      <text>
        <r>
          <rPr>
            <b/>
            <sz val="9"/>
            <color indexed="81"/>
            <rFont val="Segoe UI"/>
            <family val="2"/>
          </rPr>
          <t>x = Ja
Leer = Nein</t>
        </r>
      </text>
    </comment>
    <comment ref="K1" authorId="0" shapeId="0" xr:uid="{3D4F547A-7456-44ED-9B97-E5A134BED0F3}">
      <text>
        <r>
          <rPr>
            <b/>
            <sz val="9"/>
            <color indexed="81"/>
            <rFont val="Segoe UI"/>
            <family val="2"/>
          </rPr>
          <t>1 = Ganze Seite
1/2 = halbe Seite
1/4 = Viertel Seite
* = Umschlag (innen oder außen sowie vorne oder hinten)</t>
        </r>
      </text>
    </comment>
    <comment ref="V1" authorId="0" shapeId="0" xr:uid="{C65A0067-D0C7-484A-857E-A60770F79D43}">
      <text>
        <r>
          <rPr>
            <b/>
            <sz val="9"/>
            <color indexed="81"/>
            <rFont val="Segoe UI"/>
            <family val="2"/>
          </rPr>
          <t>Diese Sponsoren kommen mit einer Anzeige in das Saisonheft.</t>
        </r>
      </text>
    </comment>
    <comment ref="W1" authorId="0" shapeId="0" xr:uid="{9A8C44BB-A58A-427C-BF81-5279D48A6E6E}">
      <text>
        <r>
          <rPr>
            <b/>
            <sz val="9"/>
            <color indexed="81"/>
            <rFont val="Segoe UI"/>
            <family val="2"/>
          </rPr>
          <t>Sponsoren, die vor dem Druck des Saisonhefts das Layout explizit freigen wollen.</t>
        </r>
      </text>
    </comment>
    <comment ref="X1" authorId="0" shapeId="0" xr:uid="{1B3DB1EB-DEB0-42A0-B67C-38FA138207F2}">
      <text>
        <r>
          <rPr>
            <b/>
            <sz val="9"/>
            <color indexed="81"/>
            <rFont val="Segoe UI"/>
            <family val="2"/>
          </rPr>
          <t>Manche Sponsoren wollen nicht in der Liste der Sponsoren &amp; Gönner im Saisonheft genannt werden.</t>
        </r>
      </text>
    </comment>
    <comment ref="Y1" authorId="0" shapeId="0" xr:uid="{AE58215A-2BA8-4E14-BBB1-A71C4E94510A}">
      <text>
        <r>
          <rPr>
            <b/>
            <sz val="9"/>
            <color indexed="81"/>
            <rFont val="Segoe UI"/>
            <family val="2"/>
          </rPr>
          <t>Vermerk, dass die Anzeige im Saisonheft wirklich gecheckt wurde.</t>
        </r>
      </text>
    </comment>
    <comment ref="AG1" authorId="0" shapeId="0" xr:uid="{EC40555A-5EA2-463C-B75E-7376362217B2}">
      <text>
        <r>
          <rPr>
            <b/>
            <sz val="9"/>
            <color indexed="81"/>
            <rFont val="Segoe UI"/>
            <family val="2"/>
          </rPr>
          <t>Auf der Homepage möchten manche nicht als Sponsor genannt werden. Daher listen wir die Gönner separat auf.</t>
        </r>
      </text>
    </comment>
    <comment ref="N5" authorId="0" shapeId="0" xr:uid="{00290250-39A6-43F7-A2A0-6F1006D50F0E}">
      <text>
        <r>
          <rPr>
            <b/>
            <sz val="9"/>
            <color indexed="81"/>
            <rFont val="Segoe UI"/>
            <family val="2"/>
          </rPr>
          <t>50 Euro (will unter Team 1 oder 2 oder bei Andy B.)</t>
        </r>
      </text>
    </comment>
    <comment ref="L6" authorId="0" shapeId="0" xr:uid="{197772D9-E68A-434B-A5A0-55DD7102F488}">
      <text>
        <r>
          <rPr>
            <b/>
            <sz val="9"/>
            <color indexed="81"/>
            <rFont val="Segoe UI"/>
            <family val="2"/>
          </rPr>
          <t>Lt. A.Prinzbach in der VS vom 19.06.2020 ein Schiedsrichtertisch für 3 Jahre = 100 € (einmalig, nicht jährlich)</t>
        </r>
      </text>
    </comment>
    <comment ref="N6" authorId="0" shapeId="0" xr:uid="{AF70D3F8-91DC-48C1-AD16-F83445B42805}">
      <text>
        <r>
          <rPr>
            <b/>
            <sz val="9"/>
            <color indexed="81"/>
            <rFont val="Segoe UI"/>
            <family val="2"/>
          </rPr>
          <t>Bekommt ganze Umschlagseite Innen Vorne . Zahlt insgesamt 1000 € pro Jahr. Quartalsrechnung für Saison 2018/2019 beträgt dann 200 € (Summe = 1000€).</t>
        </r>
      </text>
    </comment>
    <comment ref="N7" authorId="0" shapeId="0" xr:uid="{FEA9316F-238A-47C4-B6AF-49FB6B69FE81}">
      <text>
        <r>
          <rPr>
            <b/>
            <sz val="9"/>
            <color indexed="81"/>
            <rFont val="Segoe UI"/>
            <family val="2"/>
          </rPr>
          <t>Die Firma engagiert sich schon bei diversen Vereinen; Ein Engagement bei uns wäre dann zuviel.</t>
        </r>
      </text>
    </comment>
    <comment ref="N8" authorId="0" shapeId="0" xr:uid="{7C658CC7-37D0-4CA8-A01D-C73813E9C9D0}">
      <text>
        <r>
          <rPr>
            <b/>
            <sz val="9"/>
            <color indexed="81"/>
            <rFont val="Segoe UI"/>
            <family val="2"/>
          </rPr>
          <t>Will seit 2018 nicht mehr angesprochen werden</t>
        </r>
      </text>
    </comment>
    <comment ref="L9" authorId="0" shapeId="0" xr:uid="{FE914DB1-C169-4269-8337-19CFCCC43A09}">
      <text>
        <r>
          <rPr>
            <b/>
            <sz val="9"/>
            <color indexed="81"/>
            <rFont val="Segoe UI"/>
            <family val="2"/>
          </rPr>
          <t>Lt. A.Prinzbach in der VS vom 19.06.2020 ein Schiedsrichtertisch für 3 Jahre = 100 € (einmalig, nicht jährlich)</t>
        </r>
      </text>
    </comment>
    <comment ref="M10" authorId="0" shapeId="0" xr:uid="{A373CC64-A6E7-43A4-95C9-70C87D5BA9D2}">
      <text>
        <r>
          <rPr>
            <b/>
            <sz val="9"/>
            <color indexed="81"/>
            <rFont val="Segoe UI"/>
            <family val="2"/>
          </rPr>
          <t>Der Besitzer Herr Müller ist kürzlich verstorben... wir sollen es nächstes Jahr erneut versuchen.</t>
        </r>
      </text>
    </comment>
    <comment ref="M11" authorId="0" shapeId="0" xr:uid="{24004EA3-D340-486A-83FB-95CEA6E7EDD1}">
      <text>
        <r>
          <rPr>
            <b/>
            <sz val="9"/>
            <color indexed="81"/>
            <rFont val="Segoe UI"/>
            <family val="2"/>
          </rPr>
          <t>viertel Seite innen</t>
        </r>
      </text>
    </comment>
    <comment ref="N12" authorId="0" shapeId="0" xr:uid="{8FA7510D-AE53-40BB-828D-6B4C5F33FEE1}">
      <text>
        <r>
          <rPr>
            <b/>
            <sz val="9"/>
            <color indexed="81"/>
            <rFont val="Segoe UI"/>
            <family val="2"/>
          </rPr>
          <t>Gleiche Anzeige wie im letzten Jahr</t>
        </r>
      </text>
    </comment>
    <comment ref="M13" authorId="0" shapeId="0" xr:uid="{F0BF2AB7-8730-468B-B49F-FCBE14905957}">
      <text>
        <r>
          <rPr>
            <b/>
            <sz val="9"/>
            <color indexed="81"/>
            <rFont val="Segoe UI"/>
            <family val="2"/>
          </rPr>
          <t>Will seit 2018 nicht mehr angesprochen werden</t>
        </r>
      </text>
    </comment>
    <comment ref="N13" authorId="0" shapeId="0" xr:uid="{7D0E0BD3-4C15-4C81-B37E-16A2BB0F792A}">
      <text>
        <r>
          <rPr>
            <b/>
            <sz val="9"/>
            <color indexed="81"/>
            <rFont val="Segoe UI"/>
            <family val="2"/>
          </rPr>
          <t>Will seit 2018 nicht mehr angesprochen werden</t>
        </r>
      </text>
    </comment>
    <comment ref="L14" authorId="0" shapeId="0" xr:uid="{BBA6C958-1C21-4544-92E9-08FCB3667453}">
      <text>
        <r>
          <rPr>
            <b/>
            <sz val="9"/>
            <color indexed="81"/>
            <rFont val="Segoe UI"/>
            <charset val="1"/>
          </rPr>
          <t>Macht eine Ansprache hier noch Sinn, da wir ja alles über Edeka beziehen…?</t>
        </r>
      </text>
    </comment>
    <comment ref="M15" authorId="0" shapeId="0" xr:uid="{9626FB25-EB5C-4BCE-8EB0-011CFE9B71F1}">
      <text>
        <r>
          <rPr>
            <b/>
            <sz val="9"/>
            <color indexed="81"/>
            <rFont val="Segoe UI"/>
            <family val="2"/>
          </rPr>
          <t>Ganze Seite innen</t>
        </r>
      </text>
    </comment>
    <comment ref="N15" authorId="0" shapeId="0" xr:uid="{A094A8CF-BA7A-4DED-B777-0DCB49473B37}">
      <text>
        <r>
          <rPr>
            <b/>
            <sz val="9"/>
            <color indexed="81"/>
            <rFont val="Segoe UI"/>
            <family val="2"/>
          </rPr>
          <t>150 Euro für drei Jahre / Möchte trotz des Betrags nur eine ganze Innenseite</t>
        </r>
      </text>
    </comment>
    <comment ref="L16" authorId="0" shapeId="0" xr:uid="{2246D8D5-6817-45DC-8DDA-BEEDF178D1DB}">
      <text>
        <r>
          <rPr>
            <b/>
            <sz val="9"/>
            <color indexed="81"/>
            <rFont val="Segoe UI"/>
            <family val="2"/>
          </rPr>
          <t>Möchten uns derzeit nicht unterstützen. Eventuell wenn ihre eigenen Kinder mal im Verein aktiv sein sollten.</t>
        </r>
      </text>
    </comment>
    <comment ref="M16" authorId="0" shapeId="0" xr:uid="{D9B06003-E802-48CB-AB55-D7E3D1D22D57}">
      <text>
        <r>
          <rPr>
            <b/>
            <sz val="9"/>
            <color indexed="81"/>
            <rFont val="Segoe UI"/>
            <family val="2"/>
          </rPr>
          <t>Möchten uns derzeit nicht unterstützen. Eventuell wenn ihre eigenen Kinder mal im Verein aktiv sein sollten.</t>
        </r>
      </text>
    </comment>
    <comment ref="N16" authorId="0" shapeId="0" xr:uid="{8FBE6E53-F7AC-43F4-8798-ABEF967D3F5D}">
      <text>
        <r>
          <rPr>
            <b/>
            <sz val="9"/>
            <color indexed="81"/>
            <rFont val="Segoe UI"/>
            <family val="2"/>
          </rPr>
          <t>Möchten uns derzeit nicht unterstützen. Eventuell wenn ihre eigenen Kinder mal im Verein aktiv sein sollten.</t>
        </r>
      </text>
    </comment>
    <comment ref="L17" authorId="0" shapeId="0" xr:uid="{0C79F138-0386-448E-97B9-0A2656AE5F28}">
      <text>
        <r>
          <rPr>
            <b/>
            <sz val="9"/>
            <color indexed="81"/>
            <rFont val="Segoe UI"/>
            <family val="2"/>
          </rPr>
          <t>Sponsor wird nicht jedes Jahr gefragt, bekommnt aber trotzdem eine halbe Seite innen</t>
        </r>
      </text>
    </comment>
    <comment ref="M17" authorId="0" shapeId="0" xr:uid="{CEB66695-7C77-4A82-9C68-83C068C3EDBE}">
      <text>
        <r>
          <rPr>
            <b/>
            <sz val="9"/>
            <color indexed="81"/>
            <rFont val="Segoe UI"/>
            <family val="2"/>
          </rPr>
          <t>Sponsor wird nicht jedes Jahr gefragt, bekommnt aber trotzdem eine halbe Seite innen</t>
        </r>
      </text>
    </comment>
    <comment ref="N17" authorId="0" shapeId="0" xr:uid="{0B316188-43E8-47A0-8A76-29AEE9393445}">
      <text>
        <r>
          <rPr>
            <b/>
            <sz val="9"/>
            <color indexed="81"/>
            <rFont val="Segoe UI"/>
            <family val="2"/>
          </rPr>
          <t>Die Badische Beamtenbank hat zur Saison 2017/2018 1000 € gespendet und kommt dafür (mindestens) die nächsten 3 Jahre in das Saisonheft</t>
        </r>
      </text>
    </comment>
    <comment ref="L18" authorId="0" shapeId="0" xr:uid="{957FD61C-CD89-4B89-A7B6-430F9D2CA5DC}">
      <text>
        <r>
          <rPr>
            <b/>
            <sz val="9"/>
            <color indexed="81"/>
            <rFont val="Segoe UI"/>
            <family val="2"/>
          </rPr>
          <t>Sponsor zahl alle 3 Jahre 300 Euro.
Dafür bekommt er als Gegenleitung:
- Werbewand
- Trickot Rückseite
- Anzeige in Saisonheft (von uns freiwillig)
Mit Gunther reden über neue Vereinbarung wegen Regionalliga (Betrag zu gering für Rückseite Trikot)</t>
        </r>
      </text>
    </comment>
    <comment ref="N18" authorId="0" shapeId="0" xr:uid="{73BCA497-9AC7-4E37-B38C-2C85F1DF9B4A}">
      <text>
        <r>
          <rPr>
            <b/>
            <sz val="9"/>
            <color indexed="81"/>
            <rFont val="Segoe UI"/>
            <family val="2"/>
          </rPr>
          <t xml:space="preserve">Sponsor zahl alle 3 Jahre 300 Euro.
Dafür bekommt er als Gegenleitung:
- Werbewand
- Trickot Rückseite
- Anzeige in Saisonheft (von uns freiwillig)
Mit Gunther reden über neue Vereinbarung wegen Regionalliga (Betrag zu gering für Rückseite Trikot)
</t>
        </r>
      </text>
    </comment>
    <comment ref="N19" authorId="0" shapeId="0" xr:uid="{C03B92B9-D3DE-4D43-8869-A4EFB3DBE7BA}">
      <text>
        <r>
          <rPr>
            <b/>
            <sz val="9"/>
            <color indexed="81"/>
            <rFont val="Segoe UI"/>
            <family val="2"/>
          </rPr>
          <t>Möchte auf eine rechte Innenseite. Sponsor benötigt nach dem Druck zusammen mit der Rechnung auch ein Belegexemplar des neuen Saisonheftes 2018/2019.</t>
        </r>
      </text>
    </comment>
    <comment ref="L20" authorId="0" shapeId="0" xr:uid="{C1671960-7D30-4FC4-8FBB-1805A6458F9D}">
      <text>
        <r>
          <rPr>
            <b/>
            <sz val="9"/>
            <color indexed="81"/>
            <rFont val="Segoe UI"/>
            <charset val="1"/>
          </rPr>
          <t>Meinrad Müller muss Trikothauptsponsor bleiben:
TTSF &amp; Müller gehören zusammen!</t>
        </r>
      </text>
    </comment>
    <comment ref="M20" authorId="0" shapeId="0" xr:uid="{87D513B3-F9C4-42AA-A523-55476345550F}">
      <text>
        <r>
          <rPr>
            <b/>
            <sz val="9"/>
            <color indexed="81"/>
            <rFont val="Segoe UI"/>
            <family val="2"/>
          </rPr>
          <t>Ganze Seite innen (100 Euro Anzeige und 700 € für Trikotwerbung Heimspieltrikot.</t>
        </r>
      </text>
    </comment>
    <comment ref="N20" authorId="0" shapeId="0" xr:uid="{1A343E79-0616-4C0D-9E9E-6A618DF7C4DF}">
      <text>
        <r>
          <rPr>
            <b/>
            <sz val="9"/>
            <color indexed="81"/>
            <rFont val="Segoe UI"/>
            <family val="2"/>
          </rPr>
          <t>Anzeige wie Vorjahr. Trikot: Bleibt auf allen Standard-Trikots vorne drauf. Ist Informiert, dass Huber auch Trikots sponort. Will nicht hinten drauf.</t>
        </r>
      </text>
    </comment>
    <comment ref="L21" authorId="0" shapeId="0" xr:uid="{FC6D8FB4-A1CC-4AEA-B55F-A4A444CE226C}">
      <text>
        <r>
          <rPr>
            <b/>
            <sz val="9"/>
            <color indexed="81"/>
            <rFont val="Segoe UI"/>
            <family val="2"/>
          </rPr>
          <t>Sponsor nicht mehr ansprechen</t>
        </r>
      </text>
    </comment>
    <comment ref="M21" authorId="0" shapeId="0" xr:uid="{9A41A8CC-0635-42BB-8274-166485A33EDB}">
      <text>
        <r>
          <rPr>
            <b/>
            <sz val="9"/>
            <color indexed="81"/>
            <rFont val="Segoe UI"/>
            <family val="2"/>
          </rPr>
          <t>Nicht mehr ansprechen</t>
        </r>
      </text>
    </comment>
    <comment ref="N21" authorId="0" shapeId="0" xr:uid="{7D5776D0-2A56-4184-80EF-AA0386E9E3F3}">
      <text>
        <r>
          <rPr>
            <b/>
            <sz val="9"/>
            <color indexed="81"/>
            <rFont val="Segoe UI"/>
            <family val="2"/>
          </rPr>
          <t>Im nächsten Jahr nicht mehr ansprechen</t>
        </r>
      </text>
    </comment>
    <comment ref="M22" authorId="0" shapeId="0" xr:uid="{54FC387C-CF88-42BB-B208-59951DA689CC}">
      <text>
        <r>
          <rPr>
            <b/>
            <sz val="9"/>
            <color indexed="81"/>
            <rFont val="Segoe UI"/>
            <family val="2"/>
          </rPr>
          <t>Halbe Seite innen</t>
        </r>
      </text>
    </comment>
    <comment ref="L23" authorId="0" shapeId="0" xr:uid="{2B930938-E909-4C9B-BFF5-5619F84F8B85}">
      <text>
        <r>
          <rPr>
            <b/>
            <sz val="9"/>
            <color indexed="81"/>
            <rFont val="Segoe UI"/>
            <family val="2"/>
          </rPr>
          <t>Sponsor nicht mehr ansprechen</t>
        </r>
      </text>
    </comment>
    <comment ref="N23" authorId="0" shapeId="0" xr:uid="{FA21AFCD-0978-4E12-A254-63E96199F90D}">
      <text>
        <r>
          <rPr>
            <b/>
            <sz val="9"/>
            <color indexed="81"/>
            <rFont val="Segoe UI"/>
            <family val="2"/>
          </rPr>
          <t>Im nächsten Jahr nicht mehr ansprechen</t>
        </r>
      </text>
    </comment>
    <comment ref="M24" authorId="0" shapeId="0" xr:uid="{DE97C3C8-9C4E-4E54-8142-D07CE2351E5B}">
      <text>
        <r>
          <rPr>
            <b/>
            <sz val="9"/>
            <color indexed="81"/>
            <rFont val="Segoe UI"/>
            <family val="2"/>
          </rPr>
          <t>Ganze Seite innen</t>
        </r>
      </text>
    </comment>
    <comment ref="L25" authorId="0" shapeId="0" xr:uid="{2638B35B-276B-46D3-A098-77519FAB7177}">
      <text>
        <r>
          <rPr>
            <b/>
            <sz val="9"/>
            <color indexed="81"/>
            <rFont val="Segoe UI"/>
            <family val="2"/>
          </rPr>
          <t>'Eine ganze Seite / TT-Xpert ist offizieller Ausrüster und erscheint kostenlos</t>
        </r>
      </text>
    </comment>
    <comment ref="M25" authorId="0" shapeId="0" xr:uid="{077A57B1-C336-4661-9D94-93BF0BE0271E}">
      <text>
        <r>
          <rPr>
            <b/>
            <sz val="9"/>
            <color indexed="81"/>
            <rFont val="Segoe UI"/>
            <family val="2"/>
          </rPr>
          <t>'Eine ganze Seite / TT-Xpert ist offizieller Ausrüster und erscheint kostenlos</t>
        </r>
      </text>
    </comment>
    <comment ref="N25" authorId="0" shapeId="0" xr:uid="{BC5D5257-D3C9-47D2-BE56-F6A6D76CF82D}">
      <text>
        <r>
          <rPr>
            <b/>
            <sz val="9"/>
            <color indexed="81"/>
            <rFont val="Segoe UI"/>
            <family val="2"/>
          </rPr>
          <t>'Eine ganze Seite / TT-Xpert ist offizieller Ausrüster und erscheint kostenlos</t>
        </r>
      </text>
    </comment>
    <comment ref="L26" authorId="0" shapeId="0" xr:uid="{29380DA0-2E74-4637-9743-EDB6CCAD9514}">
      <text>
        <r>
          <rPr>
            <b/>
            <sz val="9"/>
            <color indexed="81"/>
            <rFont val="Segoe UI"/>
            <family val="2"/>
          </rPr>
          <t>Sponsor nicht mehr ansprechen</t>
        </r>
      </text>
    </comment>
    <comment ref="M26" authorId="0" shapeId="0" xr:uid="{85BE5BA3-CF6E-45BD-8262-4372B6E34480}">
      <text>
        <r>
          <rPr>
            <b/>
            <sz val="9"/>
            <color indexed="81"/>
            <rFont val="Segoe UI"/>
            <family val="2"/>
          </rPr>
          <t>Sponsor nicht mehr ansprechen</t>
        </r>
      </text>
    </comment>
    <comment ref="M27" authorId="0" shapeId="0" xr:uid="{328EBF0F-77AF-4B08-AD95-5309DBDB169C}">
      <text>
        <r>
          <rPr>
            <b/>
            <sz val="9"/>
            <color indexed="81"/>
            <rFont val="Segoe UI"/>
            <family val="2"/>
          </rPr>
          <t>200 € halbe Seite Umschlag &amp; 100€ Online Anzeige auf unserer Homepage (ab Position 5)</t>
        </r>
      </text>
    </comment>
    <comment ref="N27" authorId="0" shapeId="0" xr:uid="{FB27563E-5079-4A8C-94E5-D5AB0B021651}">
      <text>
        <r>
          <rPr>
            <b/>
            <sz val="9"/>
            <color indexed="81"/>
            <rFont val="Segoe UI"/>
            <family val="2"/>
          </rPr>
          <t xml:space="preserve"> Joachim Allgeier möchte auf die Umschlagseite des Saisonheftes. Am liebsten vorne drauf.</t>
        </r>
      </text>
    </comment>
    <comment ref="L28" authorId="0" shapeId="0" xr:uid="{4924CCD8-8867-4FDA-8929-36A8E410E948}">
      <text>
        <r>
          <rPr>
            <b/>
            <sz val="9"/>
            <color indexed="81"/>
            <rFont val="Segoe UI"/>
            <family val="2"/>
          </rPr>
          <t>'Viertel Seite Umschlag / Christine soll einfach mal schauen, was wir auf den Umschlagseiten haben und was am besten passt.
Es gibt zukünftig nur eine Rechnung über das Sponsoring (Anzeige, Trikotwerbung und Sponsoring)
Wolfgang soll Cordula die Rechnung einfach vorher zeigen</t>
        </r>
      </text>
    </comment>
    <comment ref="M28" authorId="0" shapeId="0" xr:uid="{FF085F35-A763-481A-BC2A-7E67781F167B}">
      <text>
        <r>
          <rPr>
            <b/>
            <sz val="9"/>
            <color indexed="81"/>
            <rFont val="Segoe UI"/>
            <family val="2"/>
          </rPr>
          <t>'Viertel Seite Umschlag / Christine soll einfach mal schauen, was wir auf den Umschlagseiten haben und was am besten passt.
Es gibt zukünftig nur eine Rechnung über das Sponsoring (Anzeige, Trikotwerbung und Sponsoring)
Wolfgang soll Cordula die Rechnung einfach vorher zeigen</t>
        </r>
      </text>
    </comment>
    <comment ref="N28" authorId="0" shapeId="0" xr:uid="{B4F9B850-4E10-4096-9847-F8BE1DFB8756}">
      <text>
        <r>
          <rPr>
            <b/>
            <sz val="9"/>
            <color indexed="81"/>
            <rFont val="Segoe UI"/>
            <family val="2"/>
          </rPr>
          <t>'Neue Anzeige! 150 Euro / 1 Seite im A5 hoch Heft farbig auf der 2. Umschlagseite / jeweils unsere Vereins Nr. der Sparkasse 2354  angeben</t>
        </r>
      </text>
    </comment>
    <comment ref="L29" authorId="0" shapeId="0" xr:uid="{C25A1EB2-C2D7-49AE-8A4B-53A1FD604ABD}">
      <text>
        <r>
          <rPr>
            <b/>
            <sz val="9"/>
            <color indexed="81"/>
            <rFont val="Segoe UI"/>
            <charset val="1"/>
          </rPr>
          <t>Sponsor ist erst seit kurzem in der Wandergruppe der TTSF.
Hier muss Edmund entscheiden, ob er ihn anspricht.</t>
        </r>
      </text>
    </comment>
    <comment ref="M29" authorId="0" shapeId="0" xr:uid="{4A42A9F2-DE53-48A5-B241-F30E822F7C1C}">
      <text>
        <r>
          <rPr>
            <b/>
            <sz val="9"/>
            <color indexed="81"/>
            <rFont val="Segoe UI"/>
            <family val="2"/>
          </rPr>
          <t>noch nicht ansprechen, Edmund ist mit Vater über Wandergruppe in Kontakt</t>
        </r>
      </text>
    </comment>
    <comment ref="N32" authorId="0" shapeId="0" xr:uid="{8ACF3870-E02D-4E53-AD9D-9B10F76887EB}">
      <text>
        <r>
          <rPr>
            <b/>
            <sz val="9"/>
            <color indexed="81"/>
            <rFont val="Segoe UI"/>
            <family val="2"/>
          </rPr>
          <t>War leider zu spät, macht im nächsten Jahr mit.</t>
        </r>
      </text>
    </comment>
    <comment ref="L33" authorId="0" shapeId="0" xr:uid="{DA2AC9EA-54B2-448E-A71F-84302B558975}">
      <text>
        <r>
          <rPr>
            <b/>
            <sz val="9"/>
            <color indexed="81"/>
            <rFont val="Segoe UI"/>
            <family val="2"/>
          </rPr>
          <t>Will Vorab-Abzug zur Kontrolle / Hat im Jahr 2017 500 € für die nächsten 5 Jahre gespendet. Kommt dadurch die nächsten 5 Jahre bis 2021/2022 in das Heft.
In der Saison 2022/2023 wieder fragen.</t>
        </r>
      </text>
    </comment>
    <comment ref="M33" authorId="0" shapeId="0" xr:uid="{FCCF0A6E-00AE-4ABF-BCA6-A9B30D4A7F54}">
      <text>
        <r>
          <rPr>
            <b/>
            <sz val="9"/>
            <color indexed="81"/>
            <rFont val="Segoe UI"/>
            <family val="2"/>
          </rPr>
          <t>Will Vorab-Abzug zur Kontrolle / Hat 500 € für die nächsten 5 Jahre gespendet. Kommt dadurch die nächsten 5 Jahre bis 2021/2022 in das Heft</t>
        </r>
      </text>
    </comment>
    <comment ref="N33" authorId="0" shapeId="0" xr:uid="{B3D14736-8045-43BD-93A5-9186E9FA1762}">
      <text>
        <r>
          <rPr>
            <b/>
            <sz val="9"/>
            <color indexed="81"/>
            <rFont val="Segoe UI"/>
            <family val="2"/>
          </rPr>
          <t>Will Vorab-Abzug zur Kontrolle / Hat 500 € für die nächsten 5 Jahre gespendet. Kommt dadurch die nächsten 5 Jahre bis 2021/2022 in das Heft</t>
        </r>
      </text>
    </comment>
    <comment ref="L34" authorId="0" shapeId="0" xr:uid="{486EB319-F791-41A3-83CC-BDC3FF6CD2E5}">
      <text>
        <r>
          <rPr>
            <b/>
            <sz val="9"/>
            <color indexed="81"/>
            <rFont val="Segoe UI"/>
            <family val="2"/>
          </rPr>
          <t>Fabian würde es in 2019 noch einmal versuchen; er war ganz freundlich.</t>
        </r>
      </text>
    </comment>
    <comment ref="N34" authorId="0" shapeId="0" xr:uid="{703B8177-6618-45AE-A518-1AA0A5D750F1}">
      <text>
        <r>
          <rPr>
            <b/>
            <sz val="9"/>
            <color indexed="81"/>
            <rFont val="Segoe UI"/>
            <family val="2"/>
          </rPr>
          <t>Fabian würde es in 2019 noch einmal versuchen; er war ganz freundlich.</t>
        </r>
      </text>
    </comment>
    <comment ref="L37" authorId="0" shapeId="0" xr:uid="{6FA05C0F-F230-4E07-BF9F-9F020C6F2AED}">
      <text>
        <r>
          <rPr>
            <b/>
            <sz val="9"/>
            <color indexed="81"/>
            <rFont val="Segoe UI"/>
            <charset val="1"/>
          </rPr>
          <t xml:space="preserve">Noch einmal fragen. Wenn sie diesmal immer noch nicht mehr wollen, dann Sponsor inaktiv setzten. </t>
        </r>
      </text>
    </comment>
    <comment ref="M37" authorId="0" shapeId="0" xr:uid="{3156CC0E-BBE7-461D-B0F7-91CE3DAA272D}">
      <text>
        <r>
          <rPr>
            <b/>
            <sz val="9"/>
            <color indexed="81"/>
            <rFont val="Segoe UI"/>
            <family val="2"/>
          </rPr>
          <t>Wird derzeit noch geklärt. Anzeige rein, da es gut aussieht, dass sie zahlen (das Risiko gehen wir ein)</t>
        </r>
      </text>
    </comment>
    <comment ref="N37" authorId="0" shapeId="0" xr:uid="{3C064205-8FE6-40BD-8904-4ACB71A66AE4}">
      <text>
        <r>
          <rPr>
            <b/>
            <sz val="9"/>
            <color indexed="81"/>
            <rFont val="Segoe UI"/>
            <family val="2"/>
          </rPr>
          <t>Wird derzeit noch geklärt. Anzeige rein, da es gut aussieht, dass sie zahlen (das Risiko gehen wir ein)</t>
        </r>
      </text>
    </comment>
    <comment ref="M38" authorId="0" shapeId="0" xr:uid="{8E7B7681-B0C4-42AC-B573-D20C6F6E1F18}">
      <text>
        <r>
          <rPr>
            <b/>
            <sz val="9"/>
            <color indexed="81"/>
            <rFont val="Segoe UI"/>
            <family val="2"/>
          </rPr>
          <t>Halbe Seite ganz hinten (Umschlag)</t>
        </r>
      </text>
    </comment>
    <comment ref="N38" authorId="0" shapeId="0" xr:uid="{DD96AE74-F8CF-47A7-8411-8202F4F71E54}">
      <text>
        <r>
          <rPr>
            <b/>
            <sz val="9"/>
            <color indexed="81"/>
            <rFont val="Segoe UI"/>
            <family val="2"/>
          </rPr>
          <t>Wie Vorjahr / gleiches Design: 150 Euro (Anzeige auf Umschlag innenseite)</t>
        </r>
      </text>
    </comment>
    <comment ref="L39" authorId="0" shapeId="0" xr:uid="{6E394313-FDBF-4290-8D29-737F4FF622B5}">
      <text>
        <r>
          <rPr>
            <b/>
            <sz val="9"/>
            <color indexed="81"/>
            <rFont val="Segoe UI"/>
            <family val="2"/>
          </rPr>
          <t>Sponsor nicht mehr ansprechen</t>
        </r>
      </text>
    </comment>
    <comment ref="M39" authorId="0" shapeId="0" xr:uid="{20B6C085-F84D-4AAA-8179-6B485B2C76FB}">
      <text>
        <r>
          <rPr>
            <b/>
            <sz val="9"/>
            <color indexed="81"/>
            <rFont val="Segoe UI"/>
            <family val="2"/>
          </rPr>
          <t>Sponsor nicht mehr ansprechen</t>
        </r>
      </text>
    </comment>
    <comment ref="N39" authorId="0" shapeId="0" xr:uid="{7745E1E5-CEB1-49E6-9318-0BDB0E5FB5C8}">
      <text>
        <r>
          <rPr>
            <b/>
            <sz val="9"/>
            <color indexed="81"/>
            <rFont val="Segoe UI"/>
            <family val="2"/>
          </rPr>
          <t>Hat sich nach unzähligen Versuchen durch Ali nicht mehr gemeldet. Ist raus.</t>
        </r>
      </text>
    </comment>
    <comment ref="L42" authorId="0" shapeId="0" xr:uid="{9F0BCD8B-88A6-4061-8DED-CD4D492FC510}">
      <text>
        <r>
          <rPr>
            <b/>
            <sz val="9"/>
            <color indexed="81"/>
            <rFont val="Segoe UI"/>
            <charset val="1"/>
          </rPr>
          <t>Könnte man nochmal versuchen...</t>
        </r>
      </text>
    </comment>
    <comment ref="M42" authorId="0" shapeId="0" xr:uid="{4EDBD403-3E76-4B2A-B62C-CE8FC27D13A3}">
      <text>
        <r>
          <rPr>
            <b/>
            <sz val="9"/>
            <color indexed="81"/>
            <rFont val="Segoe UI"/>
            <family val="2"/>
          </rPr>
          <t>Hat auf Anfrage von Martin nicht reagiert</t>
        </r>
      </text>
    </comment>
    <comment ref="N42" authorId="0" shapeId="0" xr:uid="{AC0D63F2-3C92-4CD0-B591-06916342287A}">
      <text>
        <r>
          <rPr>
            <b/>
            <sz val="9"/>
            <color indexed="81"/>
            <rFont val="Segoe UI"/>
            <family val="2"/>
          </rPr>
          <t>Thorsten Jung möchte nur auf die Werbewand und gibt dafür 100 Euro</t>
        </r>
      </text>
    </comment>
    <comment ref="L43" authorId="0" shapeId="0" xr:uid="{F12D1CC1-43EF-4FA8-BF4C-693187F704D2}">
      <text>
        <r>
          <rPr>
            <b/>
            <sz val="9"/>
            <color indexed="81"/>
            <rFont val="Segoe UI"/>
            <charset val="1"/>
          </rPr>
          <t>Gerry Huber ist uns sehr wohl gesonnen.
Er ist auch immer wieder bereit Sonderaktionen zu finanzieren (z.B. Jubiläumsshirt oder Trikots für die Jugendlichen).
Aktuell ist der der Haupttrikotsponsor der Jugend (blaues Jako-Trikot).</t>
        </r>
      </text>
    </comment>
    <comment ref="M43" authorId="0" shapeId="0" xr:uid="{70374F1E-86B7-493A-A902-B3B2CAB3617B}">
      <text>
        <r>
          <rPr>
            <b/>
            <sz val="9"/>
            <color indexed="81"/>
            <rFont val="Segoe UI"/>
            <family val="2"/>
          </rPr>
          <t>Halbe Umschlagseite</t>
        </r>
      </text>
    </comment>
    <comment ref="N43" authorId="0" shapeId="0" xr:uid="{275E89D6-1AA0-4769-B1A5-1C877C9AEBD3}">
      <text>
        <r>
          <rPr>
            <b/>
            <sz val="9"/>
            <color indexed="81"/>
            <rFont val="Segoe UI"/>
            <family val="2"/>
          </rPr>
          <t xml:space="preserve">Sponsoring eines gesamten Trikotsatzes für alle Jugendspieler. Daher vereinbart, dass Fa. Huber eine ganze Umschlaginnenseite bekommt.
</t>
        </r>
      </text>
    </comment>
    <comment ref="L44" authorId="0" shapeId="0" xr:uid="{54D17999-C6D9-4C4E-B864-792D1E527A83}">
      <text>
        <r>
          <rPr>
            <b/>
            <sz val="9"/>
            <color indexed="81"/>
            <rFont val="Segoe UI"/>
            <family val="2"/>
          </rPr>
          <t>Will Naturalien (z.B. bei Sommerfest) spenden -&gt; Ansprechen!!!</t>
        </r>
      </text>
    </comment>
    <comment ref="N44" authorId="0" shapeId="0" xr:uid="{1FC897E0-27D0-4820-AFC4-E06D123DD236}">
      <text>
        <r>
          <rPr>
            <b/>
            <sz val="9"/>
            <color indexed="81"/>
            <rFont val="Segoe UI"/>
            <family val="2"/>
          </rPr>
          <t>Will Naturalien (z.B. bei Sommerfest) spenden -&gt; Ansprechen!!!</t>
        </r>
      </text>
    </comment>
    <comment ref="L45" authorId="0" shapeId="0" xr:uid="{6640817F-2C15-4510-B87E-C2971C710624}">
      <text>
        <r>
          <rPr>
            <b/>
            <sz val="9"/>
            <color indexed="81"/>
            <rFont val="Segoe UI"/>
            <family val="2"/>
          </rPr>
          <t>Leider wurde die Anzeige nicht im Heft gedruckt. In der Onlineversion ist sie vorhanden.
Sponsor darf aber 2020 sehr gerne wieder angesprochen werden.</t>
        </r>
      </text>
    </comment>
    <comment ref="M45" authorId="0" shapeId="0" xr:uid="{464B0FAA-389D-464F-9BD6-7F324801ECC3}">
      <text>
        <r>
          <rPr>
            <b/>
            <sz val="9"/>
            <color indexed="81"/>
            <rFont val="Segoe UI"/>
            <family val="2"/>
          </rPr>
          <t>Leider wurde die Anzeige auf Grund eines Fehlers von uns nicht im Heft gedruckt. In der Onlineversion ist die Anzeige aber vorhanden.
Damit war das Problem aus der Welt geschaffen.
Sponsor darf aber 2020 sehr gerne wieder angesprochen werden.</t>
        </r>
      </text>
    </comment>
    <comment ref="M46" authorId="0" shapeId="0" xr:uid="{A8C1B02D-571F-483A-80DE-6B25BA4A2000}">
      <text>
        <r>
          <rPr>
            <b/>
            <sz val="9"/>
            <color indexed="81"/>
            <rFont val="Segoe UI"/>
            <family val="2"/>
          </rPr>
          <t>Viertel Seite, unbedingt neue Anzeige verwenden</t>
        </r>
      </text>
    </comment>
    <comment ref="N46" authorId="0" shapeId="0" xr:uid="{F80B758D-9E8E-4D31-B26B-652977C0EB00}">
      <text>
        <r>
          <rPr>
            <b/>
            <sz val="9"/>
            <color indexed="81"/>
            <rFont val="Segoe UI"/>
            <family val="2"/>
          </rPr>
          <t>50 Euro / Halbe Seite</t>
        </r>
      </text>
    </comment>
    <comment ref="L47" authorId="0" shapeId="0" xr:uid="{9925721A-8C39-4830-8828-D929B062F6EF}">
      <text>
        <r>
          <rPr>
            <b/>
            <sz val="9"/>
            <color indexed="81"/>
            <rFont val="Segoe UI"/>
            <charset val="1"/>
          </rPr>
          <t>Fabian ist ehemaliger TTSF Spieler und uns sehr gut gesonnen</t>
        </r>
      </text>
    </comment>
    <comment ref="M47" authorId="0" shapeId="0" xr:uid="{D75B9684-60A7-4037-BCAE-5F4E39B91A74}">
      <text>
        <r>
          <rPr>
            <b/>
            <sz val="9"/>
            <color indexed="81"/>
            <rFont val="Segoe UI"/>
            <family val="2"/>
          </rPr>
          <t>Halbe Seite innen</t>
        </r>
      </text>
    </comment>
    <comment ref="N47" authorId="0" shapeId="0" xr:uid="{74825B53-848E-4595-9EE3-6171151318AF}">
      <text>
        <r>
          <rPr>
            <b/>
            <sz val="9"/>
            <color indexed="81"/>
            <rFont val="Segoe UI"/>
            <family val="2"/>
          </rPr>
          <t>100 Euro / Ganze Seite. Die Anzeige sollte wenn möglich bei 1. Herrenmannschaft sein.</t>
        </r>
      </text>
    </comment>
    <comment ref="N48" authorId="0" shapeId="0" xr:uid="{01C036A9-24BC-44A1-9C9D-F07CCA2EE4BB}">
      <text>
        <r>
          <rPr>
            <b/>
            <sz val="9"/>
            <color indexed="81"/>
            <rFont val="Segoe UI"/>
            <family val="2"/>
          </rPr>
          <t>Keine Rückmeldung von Rainer erhalten</t>
        </r>
      </text>
    </comment>
    <comment ref="M50" authorId="0" shapeId="0" xr:uid="{2500E62C-6542-4322-A065-5FE002CE1B5F}">
      <text>
        <r>
          <rPr>
            <b/>
            <sz val="9"/>
            <color indexed="81"/>
            <rFont val="Segoe UI"/>
            <family val="2"/>
          </rPr>
          <t>Anzeige wie Vorjahr</t>
        </r>
      </text>
    </comment>
    <comment ref="L51" authorId="0" shapeId="0" xr:uid="{7DCA2370-ADCE-45B4-9940-125F0AA43002}">
      <text>
        <r>
          <rPr>
            <b/>
            <sz val="9"/>
            <color indexed="81"/>
            <rFont val="Segoe UI"/>
            <family val="2"/>
          </rPr>
          <t>Sponsor nicht mehr ansprechen</t>
        </r>
      </text>
    </comment>
    <comment ref="M51" authorId="0" shapeId="0" xr:uid="{56B96338-8C42-422C-8802-72D28E399933}">
      <text>
        <r>
          <rPr>
            <b/>
            <sz val="9"/>
            <color indexed="81"/>
            <rFont val="Segoe UI"/>
            <family val="2"/>
          </rPr>
          <t>Sponsor nicht mehr ansprechen</t>
        </r>
      </text>
    </comment>
    <comment ref="L52" authorId="0" shapeId="0" xr:uid="{8F084452-194D-471E-8B14-2A468C95DD8C}">
      <text>
        <r>
          <rPr>
            <b/>
            <sz val="9"/>
            <color indexed="81"/>
            <rFont val="Segoe UI"/>
            <charset val="1"/>
          </rPr>
          <t>Neuer Vorschlag von Rainer Rudolf. Bisher kein Sponsor. Probieren kann man es ja mal.</t>
        </r>
      </text>
    </comment>
    <comment ref="L53" authorId="0" shapeId="0" xr:uid="{F82BD7B4-F5BA-4A67-8301-B5E1DAFF46BE}">
      <text>
        <r>
          <rPr>
            <b/>
            <sz val="9"/>
            <color indexed="81"/>
            <rFont val="Segoe UI"/>
            <family val="2"/>
          </rPr>
          <t>Will keine Anzeige. Möchte im Heft in der Liste der Unterstützer genannt werden.</t>
        </r>
      </text>
    </comment>
    <comment ref="M53" authorId="0" shapeId="0" xr:uid="{C4015CBF-3257-4165-8BC7-5B78C6B863F3}">
      <text>
        <r>
          <rPr>
            <b/>
            <sz val="9"/>
            <color indexed="81"/>
            <rFont val="Segoe UI"/>
            <family val="2"/>
          </rPr>
          <t>Will keine Anzeige. Möchte im Heft in der Liste der Unterstützer genannt werden.</t>
        </r>
      </text>
    </comment>
    <comment ref="N53" authorId="0" shapeId="0" xr:uid="{23205F71-248C-4028-BC5B-0791634C2820}">
      <text>
        <r>
          <rPr>
            <b/>
            <sz val="9"/>
            <color indexed="81"/>
            <rFont val="Segoe UI"/>
            <family val="2"/>
          </rPr>
          <t>Will keine Anzeige. Möchte im Heft in der Liste der Unterstützer genannt werden.</t>
        </r>
      </text>
    </comment>
    <comment ref="L54" authorId="0" shapeId="0" xr:uid="{5FD764F1-D54C-42CC-A3A6-3A91E5727084}">
      <text>
        <r>
          <rPr>
            <b/>
            <sz val="9"/>
            <color indexed="81"/>
            <rFont val="Segoe UI"/>
            <charset val="1"/>
          </rPr>
          <t>Neuer Vorschlag von Rainer Rudolf. Bisher kein Sponsor. Probieren kann man es ja mal.</t>
        </r>
      </text>
    </comment>
    <comment ref="L55" authorId="0" shapeId="0" xr:uid="{7DD5B6EF-0A30-49E8-B4FF-702BD524211C}">
      <text>
        <r>
          <rPr>
            <b/>
            <sz val="9"/>
            <color indexed="81"/>
            <rFont val="Segoe UI"/>
            <family val="2"/>
          </rPr>
          <t>Nicht mehr fragen, will nur noch Oberschopfheimer Vereine unterstützen</t>
        </r>
      </text>
    </comment>
    <comment ref="M55" authorId="0" shapeId="0" xr:uid="{F250F3B2-C94C-4317-8C3F-1DECF2755938}">
      <text>
        <r>
          <rPr>
            <b/>
            <sz val="9"/>
            <color indexed="81"/>
            <rFont val="Segoe UI"/>
            <family val="2"/>
          </rPr>
          <t>Nicht mehr fragen, will nur noch Oberschopfheimer Vereine unterstützen</t>
        </r>
      </text>
    </comment>
    <comment ref="N55" authorId="0" shapeId="0" xr:uid="{C28D376E-19C6-426A-92A6-86F465EB7CC0}">
      <text>
        <r>
          <rPr>
            <b/>
            <sz val="9"/>
            <color indexed="81"/>
            <rFont val="Segoe UI"/>
            <family val="2"/>
          </rPr>
          <t>Wie letztes Jahr</t>
        </r>
      </text>
    </comment>
    <comment ref="M57" authorId="0" shapeId="0" xr:uid="{D3EC90A9-2DD3-49DF-9736-D13EBF11FD1A}">
      <text>
        <r>
          <rPr>
            <b/>
            <sz val="9"/>
            <color indexed="81"/>
            <rFont val="Segoe UI"/>
            <family val="2"/>
          </rPr>
          <t>Viertel Seite innen</t>
        </r>
      </text>
    </comment>
    <comment ref="M58" authorId="0" shapeId="0" xr:uid="{223E4870-3C40-4E61-B5DB-A72F077C208E}">
      <text>
        <r>
          <rPr>
            <b/>
            <sz val="9"/>
            <color indexed="81"/>
            <rFont val="Segoe UI"/>
            <family val="2"/>
          </rPr>
          <t>Halbe Seite Innen</t>
        </r>
      </text>
    </comment>
    <comment ref="N58" authorId="0" shapeId="0" xr:uid="{F99CEF32-F2B8-400E-83BF-70530DB56C69}">
      <text>
        <r>
          <rPr>
            <b/>
            <sz val="9"/>
            <color indexed="81"/>
            <rFont val="Segoe UI"/>
            <family val="2"/>
          </rPr>
          <t>Rechnung bitte zu Händen Selina Schwahl!</t>
        </r>
      </text>
    </comment>
    <comment ref="L60" authorId="0" shapeId="0" xr:uid="{060C1365-B4E9-451C-98C7-D6E5E1D72693}">
      <text>
        <r>
          <rPr>
            <b/>
            <sz val="9"/>
            <color indexed="81"/>
            <rFont val="Segoe UI"/>
            <family val="2"/>
          </rPr>
          <t>EDEKA Südwest ist ein sehr guter Gönner des Vereins. Allerdings wird hier keine Anzeige geschaltet. Nur als Gönner genannt.</t>
        </r>
      </text>
    </comment>
    <comment ref="N60" authorId="0" shapeId="0" xr:uid="{D331AB31-72CB-4AE8-BF57-DCDF09830BD7}">
      <text>
        <r>
          <rPr>
            <b/>
            <sz val="9"/>
            <color indexed="81"/>
            <rFont val="Segoe UI"/>
            <family val="2"/>
          </rPr>
          <t>EDEKA Südwest ist ein sehr guter Gönner des Vereins. Allerdings wird hier keine Anzeige geschaltet. Nur als Gönner genannt.</t>
        </r>
      </text>
    </comment>
    <comment ref="L61" authorId="0" shapeId="0" xr:uid="{78800CD1-5216-4557-8B02-15F05A7F745D}">
      <text>
        <r>
          <rPr>
            <b/>
            <sz val="9"/>
            <color indexed="81"/>
            <rFont val="Segoe UI"/>
            <family val="2"/>
          </rPr>
          <t>Die Gemeinde Hohberg wird als Gönner aufgelistet. Wir fragen nicht bei der Gemeinde wegen Anzeigen nach, da diese das grundsätzlich nicht macht.</t>
        </r>
      </text>
    </comment>
    <comment ref="M61" authorId="0" shapeId="0" xr:uid="{FC557C58-F7EB-4DB1-9481-0BF1CFB1DE1F}">
      <text>
        <r>
          <rPr>
            <b/>
            <sz val="9"/>
            <color indexed="81"/>
            <rFont val="Segoe UI"/>
            <family val="2"/>
          </rPr>
          <t>Die Gemeinde Hohberg wird als Gönner aufgelistet. Wir fragen nicht bei der Gemeinde wegen Anzeigen nach, da diese das grundsätzlich nicht macht.</t>
        </r>
      </text>
    </comment>
    <comment ref="N61" authorId="0" shapeId="0" xr:uid="{BF7B54A4-4CBA-45CE-A153-822DACDE4C15}">
      <text>
        <r>
          <rPr>
            <b/>
            <sz val="9"/>
            <color indexed="81"/>
            <rFont val="Segoe UI"/>
            <family val="2"/>
          </rPr>
          <t>Die Gemeinde Hohberg wird als Gönner aufgelistet. Wir fragen nicht bei der Gemeinde wegen Anzeigen nach, da diese das grundsätzlich nicht macht.</t>
        </r>
      </text>
    </comment>
    <comment ref="L62" authorId="0" shapeId="0" xr:uid="{7F6867A7-505D-4EBD-9C1B-C78395F2C029}">
      <text>
        <r>
          <rPr>
            <b/>
            <sz val="9"/>
            <color indexed="81"/>
            <rFont val="Segoe UI"/>
            <family val="2"/>
          </rPr>
          <t>Sponsor nicht mehr ansprechen</t>
        </r>
      </text>
    </comment>
    <comment ref="M62" authorId="0" shapeId="0" xr:uid="{62BE02F4-FDC0-47F6-AB3C-9AAD641286BE}">
      <text>
        <r>
          <rPr>
            <b/>
            <sz val="9"/>
            <color indexed="81"/>
            <rFont val="Segoe UI"/>
            <family val="2"/>
          </rPr>
          <t>Wir unterstützen bereits umfangreich mehrere Vereine in Hohberg . Leider können wir nicht alle Hohberger Vereine berücksichtigen und müssen Ihnen für Ihre Anfrage leider absagen.</t>
        </r>
      </text>
    </comment>
    <comment ref="N62" authorId="0" shapeId="0" xr:uid="{63393C8A-8EED-4208-8F51-FC521188A09D}">
      <text>
        <r>
          <rPr>
            <b/>
            <sz val="9"/>
            <color indexed="81"/>
            <rFont val="Segoe UI"/>
            <family val="2"/>
          </rPr>
          <t xml:space="preserve">Absage per E-Mail / können nächstes Jahr fragen </t>
        </r>
      </text>
    </comment>
    <comment ref="M64" authorId="0" shapeId="0" xr:uid="{B929D5F3-2CA6-4FC4-9FB3-83B87F6F55CA}">
      <text>
        <r>
          <rPr>
            <b/>
            <sz val="9"/>
            <color indexed="81"/>
            <rFont val="Segoe UI"/>
            <family val="2"/>
          </rPr>
          <t>Achtung:
Herr Hogenmüller ist Hauptsponsor!
500 Euro jährlich Gesamtpaket für Trikotwerbung und halbe Seite in Saisonheft!!!
Falls noch Platz: halbe Seite auf Umschlag; in Saison 2021/2022 wieder wegen Anzeige/Sponsorenvereinbarung neu nachfragen!!!</t>
        </r>
      </text>
    </comment>
    <comment ref="N64" authorId="0" shapeId="0" xr:uid="{145E834E-0924-4B0E-A95F-907AB171D214}">
      <text>
        <r>
          <rPr>
            <b/>
            <sz val="9"/>
            <color indexed="81"/>
            <rFont val="Segoe UI"/>
            <family val="2"/>
          </rPr>
          <t>Achtung:
Herr Hogenmüller ist Hauptsponsor!
500 Euro jährlich Gesamtpaket für Trikotwerbung und halbe Seite in Saisonheft!!!
Falls noch Platz: halbe Seite auf Umschlag; in Saison 2021/2022 wieder wegen Anzeige/Sponsorenvereinbarung neu nachfragen!!!</t>
        </r>
      </text>
    </comment>
    <comment ref="M65" authorId="0" shapeId="0" xr:uid="{98A8AF21-592A-4BDC-955E-9A86AF0C85E2}">
      <text>
        <r>
          <rPr>
            <b/>
            <sz val="9"/>
            <color indexed="81"/>
            <rFont val="Segoe UI"/>
            <family val="2"/>
          </rPr>
          <t>Ganze Seite im Heft</t>
        </r>
      </text>
    </comment>
    <comment ref="M66" authorId="0" shapeId="0" xr:uid="{4578F915-A930-45D3-8776-BAEE7E15EFB1}">
      <text>
        <r>
          <rPr>
            <b/>
            <sz val="9"/>
            <color indexed="81"/>
            <rFont val="Segoe UI"/>
            <family val="2"/>
          </rPr>
          <t>Halbe Seite Innen</t>
        </r>
      </text>
    </comment>
    <comment ref="M67" authorId="0" shapeId="0" xr:uid="{09B8E41C-DD80-4409-A734-0F7DCB724408}">
      <text>
        <r>
          <rPr>
            <b/>
            <sz val="9"/>
            <color indexed="81"/>
            <rFont val="Segoe UI"/>
            <family val="2"/>
          </rPr>
          <t>Viertel Seite Innen</t>
        </r>
      </text>
    </comment>
    <comment ref="L68" authorId="0" shapeId="0" xr:uid="{07B53510-1D77-4C12-8C86-971CE0B6DDED}">
      <text>
        <r>
          <rPr>
            <b/>
            <sz val="9"/>
            <color indexed="81"/>
            <rFont val="Segoe UI"/>
            <family val="2"/>
          </rPr>
          <t>Mit EDEKA-Kohler spricht Werner Herr immer.
Seit 2019 auch als Anzeigennehmer.
Sonst als Lieferant von Lebensmitteln und Getränken. Hier wird auf Kundennummer eingekauft und am Ende ein Rabatt gewährt.
Wer kümmert sich um den Rabatt?</t>
        </r>
      </text>
    </comment>
    <comment ref="M69" authorId="0" shapeId="0" xr:uid="{D5ABE2BA-A3ED-4BAC-B383-FAF814D131D5}">
      <text>
        <r>
          <rPr>
            <b/>
            <sz val="9"/>
            <color indexed="81"/>
            <rFont val="Segoe UI"/>
            <family val="2"/>
          </rPr>
          <t xml:space="preserve">eine 1/4 Seite für 150,- € nehmen im Umschlag oder alternativ eine 1/2 Seite für 100,- € im Heft.
</t>
        </r>
      </text>
    </comment>
    <comment ref="N69" authorId="0" shapeId="0" xr:uid="{6FDFFD03-7F5A-41F5-B4F4-58BB0A9A27A0}">
      <text>
        <r>
          <rPr>
            <b/>
            <sz val="9"/>
            <color indexed="81"/>
            <rFont val="Segoe UI"/>
            <family val="2"/>
          </rPr>
          <t>wie letztes Jahr</t>
        </r>
      </text>
    </comment>
    <comment ref="M70" authorId="0" shapeId="0" xr:uid="{0FF72AE1-70B7-429A-810C-C252411B4A98}">
      <text>
        <r>
          <rPr>
            <b/>
            <sz val="9"/>
            <color indexed="81"/>
            <rFont val="Segoe UI"/>
            <family val="2"/>
          </rPr>
          <t>Halbe Seite innen</t>
        </r>
      </text>
    </comment>
    <comment ref="N70" authorId="0" shapeId="0" xr:uid="{2F2F4F6B-B285-49D5-A763-EB622172CA65}">
      <text>
        <r>
          <rPr>
            <b/>
            <sz val="9"/>
            <color indexed="81"/>
            <rFont val="Segoe UI"/>
            <family val="2"/>
          </rPr>
          <t>Sponsor nicht mehr ansprechen</t>
        </r>
      </text>
    </comment>
  </commentList>
</comments>
</file>

<file path=xl/sharedStrings.xml><?xml version="1.0" encoding="utf-8"?>
<sst xmlns="http://schemas.openxmlformats.org/spreadsheetml/2006/main" count="403" uniqueCount="308">
  <si>
    <t>Trainingsart</t>
  </si>
  <si>
    <t>Sondertraining</t>
  </si>
  <si>
    <t>Lehrgang</t>
  </si>
  <si>
    <t>Sven Happek</t>
  </si>
  <si>
    <t>Rainer Rudolf</t>
  </si>
  <si>
    <t>Thomas Huck</t>
  </si>
  <si>
    <t>Jonas Löffler</t>
  </si>
  <si>
    <t>Luca Holub</t>
  </si>
  <si>
    <t>Andreas Bußhardt</t>
  </si>
  <si>
    <t>Steffen Ehret</t>
  </si>
  <si>
    <t>Fabian Eichner</t>
  </si>
  <si>
    <t>Beantragung</t>
  </si>
  <si>
    <t>Buchung</t>
  </si>
  <si>
    <t>Veranstaltung</t>
  </si>
  <si>
    <t>genehmigt</t>
  </si>
  <si>
    <t>abgesagt</t>
  </si>
  <si>
    <t>erledigt</t>
  </si>
  <si>
    <t>beantragt</t>
  </si>
  <si>
    <t>Freies Training</t>
  </si>
  <si>
    <t>Firma / Partner</t>
  </si>
  <si>
    <t>Ansprechpartner</t>
  </si>
  <si>
    <t>E-Mail</t>
  </si>
  <si>
    <t>Pate</t>
  </si>
  <si>
    <t>Volksbank Lahr eG</t>
  </si>
  <si>
    <t>Badische Beamtenbank</t>
  </si>
  <si>
    <t>Bike &amp; Radschopf</t>
  </si>
  <si>
    <t>Buchbinder Martin Huber</t>
  </si>
  <si>
    <t>Design in Metall</t>
  </si>
  <si>
    <t>EAD Wärmedienst Reinecke GmbH</t>
  </si>
  <si>
    <t>Edeka Kohler</t>
  </si>
  <si>
    <t>E-Werk Mittelbaden</t>
  </si>
  <si>
    <t>Fahrzeugbau Mueller GmbH</t>
  </si>
  <si>
    <t>Haustechnik Fischer GmbH</t>
  </si>
  <si>
    <t>Holzbau Mingolla</t>
  </si>
  <si>
    <t>Installateur Hans Herr</t>
  </si>
  <si>
    <t>Massagepraxis Velz</t>
  </si>
  <si>
    <t>Metallbau Ehret GdbR</t>
  </si>
  <si>
    <t>Sparkasse Offenburg / Ortenau</t>
  </si>
  <si>
    <t>Prohoga</t>
  </si>
  <si>
    <t>Raumausstattung Spitzmüller</t>
  </si>
  <si>
    <t>Fahrschule Bischler</t>
  </si>
  <si>
    <t>Gemeinde Hohberg</t>
  </si>
  <si>
    <t>Holzbau Münchenbach</t>
  </si>
  <si>
    <t>CNC Jehle Hofweier</t>
  </si>
  <si>
    <t>Grohe Elgersweier</t>
  </si>
  <si>
    <t>Christian Federle</t>
  </si>
  <si>
    <t>Gunter Hechler</t>
  </si>
  <si>
    <t>Martin Huber</t>
  </si>
  <si>
    <t>Meinrad Müller</t>
  </si>
  <si>
    <t>Max Fischer</t>
  </si>
  <si>
    <t>Herr Mingolla</t>
  </si>
  <si>
    <t>Hans Herr</t>
  </si>
  <si>
    <t>Rudolf Roser</t>
  </si>
  <si>
    <t>Wilfried Velz</t>
  </si>
  <si>
    <t>Timo Ehret</t>
  </si>
  <si>
    <t>Stefan Hogenmüller</t>
  </si>
  <si>
    <t>???</t>
  </si>
  <si>
    <t>Holger Laufer</t>
  </si>
  <si>
    <t>Wolfgang Spitzmüller</t>
  </si>
  <si>
    <t>Hr. Bischler</t>
  </si>
  <si>
    <t>Horst Grafmüller</t>
  </si>
  <si>
    <t>hans-herr@t-online.de</t>
  </si>
  <si>
    <t>info@prohaga.de</t>
  </si>
  <si>
    <t>spitzmuellerraumausstattung@online.de</t>
  </si>
  <si>
    <t>christian.federle@bbbank.de</t>
  </si>
  <si>
    <t>info@bike-und-radschopf.de</t>
  </si>
  <si>
    <t>kontakt@huber-buchbinder.de</t>
  </si>
  <si>
    <t>ute.reinecke@ead-reinecke.de</t>
  </si>
  <si>
    <t>meinradmueller@t-online.de</t>
  </si>
  <si>
    <t>info@haustechnik-fischer-gmbh.de</t>
  </si>
  <si>
    <t>zimmerei@holzbau-mingolla.de</t>
  </si>
  <si>
    <t>info@malerbetrieb-roser.de</t>
  </si>
  <si>
    <t>info@metallbau-ehret.de</t>
  </si>
  <si>
    <t>info@hogenmueller.com</t>
  </si>
  <si>
    <t>mail@sparkasse-offenburg.de</t>
  </si>
  <si>
    <t>Info@volksbank-Lahr.de</t>
  </si>
  <si>
    <t>Kontaktformular Homepage</t>
  </si>
  <si>
    <t>Huber Gebäudetechnik</t>
  </si>
  <si>
    <t>Telefon</t>
  </si>
  <si>
    <t>07808 / 9149970</t>
  </si>
  <si>
    <t>holzbau.muenchenbach@t-online.de</t>
  </si>
  <si>
    <t>info@gesundheitspraxis-sauvagnat.de</t>
  </si>
  <si>
    <t>07808 / 943 80 70</t>
  </si>
  <si>
    <t>Fabian Sauvagnat</t>
  </si>
  <si>
    <t>Gesundheitspraxis Sauvagnat</t>
  </si>
  <si>
    <t>Gerold &amp; Stefan Huber</t>
  </si>
  <si>
    <t>info@huber-gebaeudetechnik.de</t>
  </si>
  <si>
    <t>kontakt@jehle-cnc.de</t>
  </si>
  <si>
    <t>07808 / 3601</t>
  </si>
  <si>
    <t>07808 - 915 77 04</t>
  </si>
  <si>
    <t>0781 / 96100</t>
  </si>
  <si>
    <t>0781 / 28937-0</t>
  </si>
  <si>
    <t>0781 / 9903948</t>
  </si>
  <si>
    <t>07808 / 910976</t>
  </si>
  <si>
    <t>0781 / 9686184</t>
  </si>
  <si>
    <t>07808 / 9100-99</t>
  </si>
  <si>
    <t>07808 / 94860</t>
  </si>
  <si>
    <t>07821 / 280-105</t>
  </si>
  <si>
    <t>0781 / 52038</t>
  </si>
  <si>
    <t>07808 / 91445-0</t>
  </si>
  <si>
    <t>07808 / 99754</t>
  </si>
  <si>
    <t>07808 / 2256</t>
  </si>
  <si>
    <t>07808 / 1705</t>
  </si>
  <si>
    <t xml:space="preserve">07808 / 2332 </t>
  </si>
  <si>
    <t>07808 / 943880</t>
  </si>
  <si>
    <t>07808 / 910892</t>
  </si>
  <si>
    <t>0781 / 200-0</t>
  </si>
  <si>
    <t>07821 / 272-0</t>
  </si>
  <si>
    <t>07720 / 8335-0</t>
  </si>
  <si>
    <t>07808 / 1054</t>
  </si>
  <si>
    <t>0781 / 9902100</t>
  </si>
  <si>
    <t>07808 / 2305</t>
  </si>
  <si>
    <t>Christoph Kaiser</t>
  </si>
  <si>
    <t>Kaiser@hohberg.de</t>
  </si>
  <si>
    <t xml:space="preserve">07808 / 88-30 </t>
  </si>
  <si>
    <t>07808 / 7139</t>
  </si>
  <si>
    <t>Werner Herr</t>
  </si>
  <si>
    <t>Rückmeldung (J / N)</t>
  </si>
  <si>
    <t>Anzeige erhalten?</t>
  </si>
  <si>
    <t>Cordula Bußhardt</t>
  </si>
  <si>
    <t>Edmund Feißt</t>
  </si>
  <si>
    <t>Wolfgang Heinzelmann</t>
  </si>
  <si>
    <t>Rössle-Apotheke</t>
  </si>
  <si>
    <t>Philippine Traeder</t>
  </si>
  <si>
    <t>07808 / 3468</t>
  </si>
  <si>
    <t>philippine-traeder@t-online.de</t>
  </si>
  <si>
    <t>Familie Henninger</t>
  </si>
  <si>
    <t>07808 / 94980</t>
  </si>
  <si>
    <t>loewenapothekehohberg@t-online.de</t>
  </si>
  <si>
    <t>Löwen-Apotheke Niederschopfheim</t>
  </si>
  <si>
    <t>Fahrschule R</t>
  </si>
  <si>
    <t>07808 / 912223</t>
  </si>
  <si>
    <t>Wolfgang Rösch</t>
  </si>
  <si>
    <t>Fahrschule-R@t-online.de</t>
  </si>
  <si>
    <t>Böhringer Fachmetzgerei</t>
  </si>
  <si>
    <t>info@boehringer-rps.de</t>
  </si>
  <si>
    <t>0781 / 9692996</t>
  </si>
  <si>
    <t>Familie Böhringer</t>
  </si>
  <si>
    <t>Vollmer KFZ-Werkstatt</t>
  </si>
  <si>
    <t>07808 / 99211</t>
  </si>
  <si>
    <t>Alexander Vollmer</t>
  </si>
  <si>
    <t>Berti's Fahrschule</t>
  </si>
  <si>
    <t>Bertram Isenmann</t>
  </si>
  <si>
    <t>0160 / 1584055</t>
  </si>
  <si>
    <t>b.isenmann@t-online.de</t>
  </si>
  <si>
    <t>Friseurteam Hofweier</t>
  </si>
  <si>
    <t>Roland Straub</t>
  </si>
  <si>
    <t>07808 / 3900</t>
  </si>
  <si>
    <t>friseurteam-hofweier@web.de</t>
  </si>
  <si>
    <t>Simon Garten- und Landschaftsbau</t>
  </si>
  <si>
    <t>mail-an@gartenbau-simon.de</t>
  </si>
  <si>
    <t>07808 / 913944</t>
  </si>
  <si>
    <t>Thomas Simon</t>
  </si>
  <si>
    <t>07808 / 2206</t>
  </si>
  <si>
    <t>Barbara Feißt</t>
  </si>
  <si>
    <t>E-Mail gesendet?</t>
  </si>
  <si>
    <t>Schreinerfachbetrieb Stefan Hogenmüller</t>
  </si>
  <si>
    <t>Maler und Korrisionsschutzbetrieb Roser</t>
  </si>
  <si>
    <t>Adelbert Bußhardt</t>
  </si>
  <si>
    <t>Kontakt durch Paten getätigt?</t>
  </si>
  <si>
    <t>Anja &amp; Olli Bächle</t>
  </si>
  <si>
    <t>EDEKA Südwest</t>
  </si>
  <si>
    <t>Rainer Huber</t>
  </si>
  <si>
    <t>Huberrai@aol.com</t>
  </si>
  <si>
    <t>0173 / 3494262</t>
  </si>
  <si>
    <t>velz.willi@t-online.de</t>
  </si>
  <si>
    <t>Monja Dietz</t>
  </si>
  <si>
    <t>Aljoscha Gühr</t>
  </si>
  <si>
    <t>Jonas Degen</t>
  </si>
  <si>
    <t>Klaus Riehle</t>
  </si>
  <si>
    <t>07808 / 911499</t>
  </si>
  <si>
    <t>klaus.riehle@wuerttembergische.de</t>
  </si>
  <si>
    <t>info@fahrschule-bischler.de</t>
  </si>
  <si>
    <t>Herr und Frau Jehle</t>
  </si>
  <si>
    <t>Hautfürsorgezentrum Dr. Degen</t>
  </si>
  <si>
    <t>17662116565</t>
  </si>
  <si>
    <t>Haus der Ingenieure</t>
  </si>
  <si>
    <t>07802/70440</t>
  </si>
  <si>
    <t>info@hausderingenieure.de</t>
  </si>
  <si>
    <t>Jürgen Müller</t>
  </si>
  <si>
    <t>Alexander Prinzbach</t>
  </si>
  <si>
    <t>015141923593</t>
  </si>
  <si>
    <t>design-in-metall@t-online.de</t>
  </si>
  <si>
    <t>Fahrschule Isenmann Diersburg</t>
  </si>
  <si>
    <t>Bagger- und Fuhrbetrieb Feger Diersburg</t>
  </si>
  <si>
    <t>Dr. Spitzmüller Zahnarzt Hofweier</t>
  </si>
  <si>
    <t>Uwe Isenmann</t>
  </si>
  <si>
    <t>fahrschule-isenmann@t-online.de</t>
  </si>
  <si>
    <t>07808 - 613</t>
  </si>
  <si>
    <t>Helmut Feger</t>
  </si>
  <si>
    <t>fegergmbh@t-online.de</t>
  </si>
  <si>
    <t>07808 - 2743</t>
  </si>
  <si>
    <t>Peter Spitzmüller</t>
  </si>
  <si>
    <t>07808 - 1066</t>
  </si>
  <si>
    <t>Ute Reinecke</t>
  </si>
  <si>
    <t>Thomas Hauser</t>
  </si>
  <si>
    <t>Nicht vorhanden</t>
  </si>
  <si>
    <t>info@digitaleseiten.de</t>
  </si>
  <si>
    <t>Edwin Röderer</t>
  </si>
  <si>
    <t>07808/551</t>
  </si>
  <si>
    <t>Schornsteinfeger Michael Malutzki</t>
  </si>
  <si>
    <t>Michael Malutzki</t>
  </si>
  <si>
    <t>info@linde-diersburg.de</t>
  </si>
  <si>
    <t>info@sine-hoeft.de</t>
  </si>
  <si>
    <t xml:space="preserve">07803 / 68 60 </t>
  </si>
  <si>
    <t>TT-Xpert</t>
  </si>
  <si>
    <t>Martin Lodner</t>
  </si>
  <si>
    <t>info@tt-xpert.de</t>
  </si>
  <si>
    <t>0821 / 3199049</t>
  </si>
  <si>
    <t>Röderer Wärmetechnik</t>
  </si>
  <si>
    <t>Andreas &amp; Heike Schäfer</t>
  </si>
  <si>
    <t>Bernd Giesler</t>
  </si>
  <si>
    <t>Carsten Höft</t>
  </si>
  <si>
    <t>Augenärztin Sine-Höft</t>
  </si>
  <si>
    <t>Nükhet Sine Höft</t>
  </si>
  <si>
    <t>VW Allgeier</t>
  </si>
  <si>
    <t>Joachim Allgeier</t>
  </si>
  <si>
    <t>Joachim.allgeier@vw-allgeier.de</t>
  </si>
  <si>
    <t>07835 / 63960</t>
  </si>
  <si>
    <t>Klaus Riehle, Württembergische Versicherungen</t>
  </si>
  <si>
    <t>Goldschmiede- &amp; Uhrenmachermeister Stickel</t>
  </si>
  <si>
    <t>Gasthof Sonne, Niederschopfheim</t>
  </si>
  <si>
    <t>Gasthaus zur Linde, Diersburg</t>
  </si>
  <si>
    <t>Mit Anzeige ins Saisonheft</t>
  </si>
  <si>
    <t>Schreinerei Röderer (Inh. Horst Grafmüller)</t>
  </si>
  <si>
    <t>Intersport Kuhn</t>
  </si>
  <si>
    <t>info@sport-kuhn.de</t>
  </si>
  <si>
    <t>0781 / 7272-0</t>
  </si>
  <si>
    <t>Jako</t>
  </si>
  <si>
    <t>degen.chaos@t-online.de</t>
  </si>
  <si>
    <t>mmalutzki@gmx.de</t>
  </si>
  <si>
    <t>sonne.niederschopfheim@t-online.de</t>
  </si>
  <si>
    <t>Werbewand</t>
  </si>
  <si>
    <t>Plakat</t>
  </si>
  <si>
    <t>Michael Feißt</t>
  </si>
  <si>
    <t>Bayer.Anette@e-werk-mittelbaden.de</t>
  </si>
  <si>
    <t>Valentin Callierotti</t>
  </si>
  <si>
    <t>A. Bayer / Martin Wenz</t>
  </si>
  <si>
    <t>Markant</t>
  </si>
  <si>
    <t>Raphael Becker</t>
  </si>
  <si>
    <t>Selina Schwahl</t>
  </si>
  <si>
    <t>Thorsten Jung Karosseriebauer</t>
  </si>
  <si>
    <t>Thorsten Jung</t>
  </si>
  <si>
    <t>jung.thorsten@googlemail.com</t>
  </si>
  <si>
    <t>0160/7832698</t>
  </si>
  <si>
    <t>Martin Kappel</t>
  </si>
  <si>
    <t>Malerbetrieb Hug</t>
  </si>
  <si>
    <t>info@maler-hug.de</t>
  </si>
  <si>
    <t>Helmut Hug</t>
  </si>
  <si>
    <t>+49 780 899368</t>
  </si>
  <si>
    <t>Anzeige im Saisonheft gecheckt</t>
  </si>
  <si>
    <t>HP: Sponsor &amp; Partner</t>
  </si>
  <si>
    <t>HP: Ausrüster</t>
  </si>
  <si>
    <t>HP: Trikotsponsor</t>
  </si>
  <si>
    <t>HP: Saisonheftsponsor</t>
  </si>
  <si>
    <t>HP: Gönner</t>
  </si>
  <si>
    <t>HP: Hauptsponsor (Banner)</t>
  </si>
  <si>
    <t>über Rapha</t>
  </si>
  <si>
    <t>Peterstaler Mineralquellen GmbH</t>
  </si>
  <si>
    <t>x</t>
  </si>
  <si>
    <t>Casa More (früher Vinolivio) Hofweier</t>
  </si>
  <si>
    <t>Sven Grathwohl</t>
  </si>
  <si>
    <t>sg@casamore.de</t>
  </si>
  <si>
    <t>F &amp; S Gesellschaft für Dialogmarketing</t>
  </si>
  <si>
    <t>Christian Funk</t>
  </si>
  <si>
    <t>info@fs-dialogmarketing.de</t>
  </si>
  <si>
    <t>49-781-92417-0</t>
  </si>
  <si>
    <t>Anzeigengröße ( * = Umschlag)</t>
  </si>
  <si>
    <t>Abfallwirtschaft Landratsamt Ortenaukreis</t>
  </si>
  <si>
    <t>Susanne Huber</t>
  </si>
  <si>
    <t>Susanne.Huber@ortenaukreis.de</t>
  </si>
  <si>
    <t>0781 805 9610</t>
  </si>
  <si>
    <t>Thomas Vergin</t>
  </si>
  <si>
    <t>Volker Gallus (Rechtsanwald / Steuerberater)</t>
  </si>
  <si>
    <t>Volker Gallus</t>
  </si>
  <si>
    <t>v.gallus@ra-gallus.de</t>
  </si>
  <si>
    <t>7854 / 9839-0</t>
  </si>
  <si>
    <t>Markus Himmelspach</t>
  </si>
  <si>
    <t>markus.himmelspach@schwarzwald-sprudel.de</t>
  </si>
  <si>
    <t>0151 52814528</t>
  </si>
  <si>
    <t>Björn Grolla (Uhl/Frangala)</t>
  </si>
  <si>
    <t>kundenservice@edeka-kohler.de</t>
  </si>
  <si>
    <t>lucia.mueller@de.markant.com</t>
  </si>
  <si>
    <t>Jakob Lauer</t>
  </si>
  <si>
    <t>Jakob Lauer GmbH - Die Bauverwalter</t>
  </si>
  <si>
    <t>kontakt@jakoblauer.de</t>
  </si>
  <si>
    <t>078 21/96 89-0</t>
  </si>
  <si>
    <t>pps Zeitarbeit</t>
  </si>
  <si>
    <t>Herr Morad</t>
  </si>
  <si>
    <t>07821/920460</t>
  </si>
  <si>
    <t>Manpower</t>
  </si>
  <si>
    <t>Frau Zahner</t>
  </si>
  <si>
    <t>07821/92390</t>
  </si>
  <si>
    <t>Patrik Stickl</t>
  </si>
  <si>
    <t>Juwelier-Stickel@gmx.net</t>
  </si>
  <si>
    <t>Schwarzwalsprudel</t>
  </si>
  <si>
    <t>Tanja Münchenbach</t>
  </si>
  <si>
    <t>07808/910212</t>
  </si>
  <si>
    <t>Rosenstiel Fotografie</t>
  </si>
  <si>
    <t>Holzhandel GmbH Marx</t>
  </si>
  <si>
    <t>Zum Sponsorentag einladen</t>
  </si>
  <si>
    <t>Weimer Transporte</t>
  </si>
  <si>
    <t>Kein Sponsor mehr</t>
  </si>
  <si>
    <t>Freigabe Anzeige einholen!</t>
  </si>
  <si>
    <t>Im Saisonheft als Gönner listen</t>
  </si>
  <si>
    <t>Will den Newslwtter nicht erhalten</t>
  </si>
  <si>
    <t>?</t>
  </si>
  <si>
    <t>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</si>
</sst>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 &quot;€&quot;"/>
  </numFmts>
  <fonts count="17" x14ac:knownFonts="1">
    <font>
      <sz val="11"/>
      <color theme="1"/>
      <name val="Calibri"/>
      <family val="2"/>
      <scheme val="minor"/>
    </font>
    <font>
      <sz val="11"/>
      <color indexed="8"/>
      <name val="Arial"/>
      <family val="2"/>
    </font>
    <font>
      <b/>
      <sz val="14"/>
      <color indexed="8"/>
      <name val="Arial"/>
      <family val="2"/>
    </font>
    <font>
      <b/>
      <sz val="11"/>
      <color indexed="9"/>
      <name val="Arial"/>
      <family val="2"/>
    </font>
    <font>
      <b/>
      <sz val="11"/>
      <color theme="1"/>
      <name val="Calibri"/>
      <family val="2"/>
      <scheme val="minor"/>
    </font>
    <font>
      <b/>
      <sz val="11"/>
      <color theme="1"/>
      <name val="Arial"/>
      <family val="2"/>
    </font>
    <font>
      <b/>
      <sz val="11"/>
      <name val="Arial"/>
      <family val="2"/>
    </font>
    <font>
      <sz val="11"/>
      <name val="Arial"/>
      <family val="2"/>
    </font>
    <font>
      <u/>
      <sz val="11"/>
      <color theme="10"/>
      <name val="Calibri"/>
      <family val="2"/>
      <scheme val="minor"/>
    </font>
    <font>
      <b/>
      <sz val="11"/>
      <color indexed="8"/>
      <name val="Arial"/>
      <family val="2"/>
    </font>
    <font>
      <u/>
      <sz val="11"/>
      <color theme="10"/>
      <name val="Arial"/>
      <family val="2"/>
    </font>
    <font>
      <sz val="11"/>
      <color theme="1"/>
      <name val="Arial"/>
      <family val="2"/>
    </font>
    <font>
      <sz val="10"/>
      <name val="Arial"/>
      <family val="2"/>
    </font>
    <font>
      <b/>
      <u/>
      <sz val="11"/>
      <color rgb="FF0000FF"/>
      <name val="Arial"/>
      <family val="2"/>
    </font>
    <font>
      <b/>
      <sz val="9"/>
      <color indexed="81"/>
      <name val="Segoe UI"/>
      <family val="2"/>
    </font>
    <font>
      <b/>
      <sz val="12"/>
      <color theme="0"/>
      <name val="Arial"/>
      <family val="2"/>
    </font>
    <font>
      <b/>
      <sz val="9"/>
      <color indexed="81"/>
      <name val="Segoe UI"/>
      <charset val="1"/>
    </font>
  </fonts>
  <fills count="13">
    <fill>
      <patternFill patternType="none"/>
    </fill>
    <fill>
      <patternFill patternType="gray125"/>
    </fill>
    <fill>
      <patternFill patternType="solid">
        <fgColor indexed="55"/>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rgb="FFC0C0C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7" tint="0.59999389629810485"/>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8" fillId="0" borderId="0" applyNumberFormat="0" applyFill="0" applyBorder="0" applyAlignment="0" applyProtection="0"/>
  </cellStyleXfs>
  <cellXfs count="100">
    <xf numFmtId="0" fontId="0" fillId="0" borderId="0" xfId="0"/>
    <xf numFmtId="0" fontId="0" fillId="0" borderId="0" xfId="0" applyBorder="1"/>
    <xf numFmtId="0" fontId="4" fillId="3" borderId="1" xfId="0" applyFont="1"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0" fillId="4" borderId="6" xfId="0" applyFill="1" applyBorder="1"/>
    <xf numFmtId="0" fontId="0" fillId="4" borderId="7" xfId="0" applyFill="1" applyBorder="1"/>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0" fontId="2" fillId="0" borderId="0" xfId="0" applyFont="1" applyAlignment="1">
      <alignment vertical="center"/>
    </xf>
    <xf numFmtId="164" fontId="7" fillId="0" borderId="1" xfId="0" applyNumberFormat="1" applyFont="1" applyFill="1" applyBorder="1" applyAlignment="1" applyProtection="1">
      <alignment vertical="top" wrapText="1"/>
      <protection locked="0"/>
    </xf>
    <xf numFmtId="164" fontId="1" fillId="0" borderId="1" xfId="0" applyNumberFormat="1" applyFont="1" applyFill="1" applyBorder="1" applyAlignment="1" applyProtection="1">
      <alignment vertical="top" wrapText="1"/>
      <protection locked="0"/>
    </xf>
    <xf numFmtId="164" fontId="10" fillId="0" borderId="1" xfId="1" applyNumberFormat="1" applyFont="1" applyFill="1" applyBorder="1" applyAlignment="1" applyProtection="1">
      <alignment vertical="top" wrapText="1"/>
      <protection locked="0"/>
    </xf>
    <xf numFmtId="0" fontId="11" fillId="0" borderId="0" xfId="0" applyFont="1" applyAlignment="1">
      <alignment vertical="top"/>
    </xf>
    <xf numFmtId="0" fontId="11" fillId="0" borderId="0" xfId="0" applyFont="1" applyAlignment="1">
      <alignment vertical="center"/>
    </xf>
    <xf numFmtId="164" fontId="7" fillId="0" borderId="1" xfId="1" applyNumberFormat="1" applyFont="1" applyFill="1" applyBorder="1" applyAlignment="1" applyProtection="1">
      <alignment vertical="top" wrapText="1"/>
      <protection locked="0"/>
    </xf>
    <xf numFmtId="164" fontId="1" fillId="0" borderId="8" xfId="0" applyNumberFormat="1" applyFont="1" applyFill="1" applyBorder="1" applyAlignment="1">
      <alignment horizontal="center" vertical="top" wrapText="1"/>
    </xf>
    <xf numFmtId="164" fontId="7" fillId="0" borderId="1" xfId="0" quotePrefix="1" applyNumberFormat="1" applyFont="1" applyFill="1" applyBorder="1" applyAlignment="1" applyProtection="1">
      <alignment vertical="top" wrapText="1"/>
      <protection locked="0"/>
    </xf>
    <xf numFmtId="0" fontId="3" fillId="2" borderId="6" xfId="0" applyFont="1" applyFill="1" applyBorder="1" applyAlignment="1">
      <alignment horizontal="center" textRotation="90" wrapText="1"/>
    </xf>
    <xf numFmtId="14" fontId="7" fillId="0" borderId="9" xfId="0" quotePrefix="1" applyNumberFormat="1" applyFont="1" applyFill="1" applyBorder="1" applyAlignment="1" applyProtection="1">
      <alignment horizontal="center" vertical="top" wrapText="1"/>
      <protection locked="0"/>
    </xf>
    <xf numFmtId="0" fontId="3" fillId="2" borderId="2" xfId="0" applyFont="1" applyFill="1" applyBorder="1" applyAlignment="1">
      <alignment horizontal="center" wrapText="1"/>
    </xf>
    <xf numFmtId="14" fontId="7" fillId="0" borderId="1" xfId="0" applyNumberFormat="1" applyFont="1" applyFill="1" applyBorder="1" applyAlignment="1" applyProtection="1">
      <alignment horizontal="center" vertical="top" wrapText="1"/>
      <protection locked="0"/>
    </xf>
    <xf numFmtId="164" fontId="7" fillId="0" borderId="8" xfId="0" applyNumberFormat="1" applyFont="1" applyFill="1" applyBorder="1" applyAlignment="1" applyProtection="1">
      <alignment horizontal="center" vertical="top" wrapText="1"/>
      <protection locked="0"/>
    </xf>
    <xf numFmtId="164" fontId="7" fillId="0" borderId="1" xfId="0" applyNumberFormat="1" applyFont="1" applyFill="1" applyBorder="1" applyAlignment="1" applyProtection="1">
      <alignment horizontal="center" vertical="top" wrapText="1"/>
      <protection locked="0"/>
    </xf>
    <xf numFmtId="164" fontId="7" fillId="0" borderId="8" xfId="0" applyNumberFormat="1" applyFont="1" applyFill="1" applyBorder="1" applyAlignment="1">
      <alignment horizontal="center" vertical="top" wrapText="1"/>
    </xf>
    <xf numFmtId="14" fontId="7" fillId="0" borderId="9" xfId="0" applyNumberFormat="1" applyFont="1" applyFill="1" applyBorder="1" applyAlignment="1" applyProtection="1">
      <alignment horizontal="center" vertical="top" wrapText="1"/>
      <protection locked="0"/>
    </xf>
    <xf numFmtId="164" fontId="7" fillId="0" borderId="8" xfId="0" quotePrefix="1" applyNumberFormat="1" applyFont="1" applyFill="1" applyBorder="1" applyAlignment="1" applyProtection="1">
      <alignment horizontal="center" vertical="top" wrapText="1"/>
      <protection locked="0"/>
    </xf>
    <xf numFmtId="164" fontId="7" fillId="0" borderId="8" xfId="0" quotePrefix="1" applyNumberFormat="1" applyFont="1" applyFill="1" applyBorder="1" applyAlignment="1">
      <alignment horizontal="center" vertical="top" wrapText="1"/>
    </xf>
    <xf numFmtId="0" fontId="3" fillId="2" borderId="3" xfId="0" applyFont="1" applyFill="1" applyBorder="1" applyAlignment="1">
      <alignment horizontal="center" textRotation="90" wrapText="1"/>
    </xf>
    <xf numFmtId="0" fontId="3" fillId="8" borderId="4" xfId="0" applyNumberFormat="1" applyFont="1" applyFill="1" applyBorder="1" applyAlignment="1">
      <alignment horizontal="left"/>
    </xf>
    <xf numFmtId="0" fontId="3" fillId="8" borderId="4" xfId="0" applyFont="1" applyFill="1" applyBorder="1" applyAlignment="1">
      <alignment horizontal="center" wrapText="1"/>
    </xf>
    <xf numFmtId="0" fontId="3" fillId="8" borderId="4" xfId="0" applyFont="1" applyFill="1" applyBorder="1" applyAlignment="1">
      <alignment horizontal="center" textRotation="90" wrapText="1"/>
    </xf>
    <xf numFmtId="0" fontId="3" fillId="8" borderId="7" xfId="0" applyFont="1" applyFill="1" applyBorder="1" applyAlignment="1">
      <alignment horizontal="center" textRotation="90" wrapText="1"/>
    </xf>
    <xf numFmtId="0" fontId="3" fillId="8" borderId="10" xfId="0" applyFont="1" applyFill="1" applyBorder="1" applyAlignment="1">
      <alignment horizontal="center" textRotation="90" wrapText="1"/>
    </xf>
    <xf numFmtId="0" fontId="3" fillId="8" borderId="13" xfId="0" applyFont="1" applyFill="1" applyBorder="1" applyAlignment="1">
      <alignment horizontal="center" textRotation="90" wrapText="1"/>
    </xf>
    <xf numFmtId="0" fontId="3" fillId="2" borderId="15" xfId="0" applyFont="1" applyFill="1" applyBorder="1" applyAlignment="1">
      <alignment horizontal="center" textRotation="90" wrapText="1"/>
    </xf>
    <xf numFmtId="0" fontId="3" fillId="2" borderId="11" xfId="0" applyFont="1" applyFill="1" applyBorder="1" applyAlignment="1">
      <alignment horizontal="center" textRotation="90" wrapText="1"/>
    </xf>
    <xf numFmtId="0" fontId="3" fillId="2" borderId="1" xfId="0" applyFont="1" applyFill="1" applyBorder="1" applyAlignment="1">
      <alignment horizontal="center" wrapText="1"/>
    </xf>
    <xf numFmtId="0" fontId="3" fillId="2" borderId="1" xfId="0" applyNumberFormat="1" applyFont="1" applyFill="1" applyBorder="1" applyAlignment="1">
      <alignment horizontal="left"/>
    </xf>
    <xf numFmtId="0" fontId="11" fillId="0" borderId="0" xfId="0" applyFont="1" applyAlignment="1">
      <alignment horizontal="left" vertical="center"/>
    </xf>
    <xf numFmtId="0" fontId="11" fillId="0" borderId="0" xfId="0" applyFont="1" applyAlignment="1"/>
    <xf numFmtId="165" fontId="5" fillId="8" borderId="4" xfId="0" applyNumberFormat="1" applyFont="1" applyFill="1" applyBorder="1" applyAlignment="1">
      <alignment horizontal="center"/>
    </xf>
    <xf numFmtId="165" fontId="11" fillId="6" borderId="1" xfId="0" applyNumberFormat="1" applyFont="1" applyFill="1" applyBorder="1" applyAlignment="1">
      <alignment vertical="top"/>
    </xf>
    <xf numFmtId="0" fontId="11" fillId="0" borderId="0" xfId="0" applyNumberFormat="1" applyFont="1" applyAlignment="1">
      <alignment horizontal="left" vertical="center"/>
    </xf>
    <xf numFmtId="164" fontId="7" fillId="7" borderId="12" xfId="0" applyNumberFormat="1" applyFont="1" applyFill="1" applyBorder="1" applyAlignment="1">
      <alignment horizontal="center" vertical="top" wrapText="1"/>
    </xf>
    <xf numFmtId="164" fontId="7" fillId="7" borderId="14" xfId="0" applyNumberFormat="1" applyFont="1" applyFill="1" applyBorder="1" applyAlignment="1">
      <alignment horizontal="center" vertical="top" wrapText="1"/>
    </xf>
    <xf numFmtId="165" fontId="5" fillId="8" borderId="7" xfId="0" applyNumberFormat="1" applyFont="1" applyFill="1" applyBorder="1" applyAlignment="1">
      <alignment horizontal="center"/>
    </xf>
    <xf numFmtId="165" fontId="11" fillId="6" borderId="8" xfId="0" applyNumberFormat="1" applyFont="1" applyFill="1" applyBorder="1" applyAlignment="1">
      <alignment vertical="top"/>
    </xf>
    <xf numFmtId="0" fontId="3" fillId="2" borderId="16" xfId="0" applyFont="1" applyFill="1" applyBorder="1" applyAlignment="1">
      <alignment horizontal="center" textRotation="90" wrapText="1"/>
    </xf>
    <xf numFmtId="0" fontId="3" fillId="2" borderId="17" xfId="0" applyFont="1" applyFill="1" applyBorder="1" applyAlignment="1">
      <alignment horizontal="center" textRotation="90" wrapText="1"/>
    </xf>
    <xf numFmtId="0" fontId="3" fillId="8" borderId="20" xfId="0" applyFont="1" applyFill="1" applyBorder="1" applyAlignment="1">
      <alignment horizontal="center" textRotation="90" wrapText="1"/>
    </xf>
    <xf numFmtId="0" fontId="3" fillId="8" borderId="21" xfId="0" applyFont="1" applyFill="1" applyBorder="1" applyAlignment="1">
      <alignment horizontal="center" textRotation="90" wrapText="1"/>
    </xf>
    <xf numFmtId="14" fontId="7" fillId="0" borderId="18" xfId="0" applyNumberFormat="1" applyFont="1" applyFill="1" applyBorder="1" applyAlignment="1" applyProtection="1">
      <alignment horizontal="center" vertical="top" wrapText="1"/>
      <protection locked="0"/>
    </xf>
    <xf numFmtId="14" fontId="7" fillId="0" borderId="22" xfId="0" applyNumberFormat="1" applyFont="1" applyFill="1" applyBorder="1" applyAlignment="1" applyProtection="1">
      <alignment horizontal="center" vertical="top" wrapText="1"/>
      <protection locked="0"/>
    </xf>
    <xf numFmtId="14" fontId="7" fillId="0" borderId="22" xfId="0" quotePrefix="1" applyNumberFormat="1" applyFont="1" applyFill="1" applyBorder="1" applyAlignment="1" applyProtection="1">
      <alignment horizontal="center" vertical="top" wrapText="1"/>
      <protection locked="0"/>
    </xf>
    <xf numFmtId="14" fontId="7" fillId="0" borderId="23" xfId="0" applyNumberFormat="1" applyFont="1" applyFill="1" applyBorder="1" applyAlignment="1" applyProtection="1">
      <alignment horizontal="center" vertical="top" wrapText="1"/>
      <protection locked="0"/>
    </xf>
    <xf numFmtId="14" fontId="7" fillId="0" borderId="24" xfId="0" applyNumberFormat="1" applyFont="1" applyFill="1" applyBorder="1" applyAlignment="1" applyProtection="1">
      <alignment horizontal="center" vertical="top" wrapText="1"/>
      <protection locked="0"/>
    </xf>
    <xf numFmtId="14" fontId="7" fillId="0" borderId="25" xfId="0" applyNumberFormat="1" applyFont="1" applyFill="1" applyBorder="1" applyAlignment="1" applyProtection="1">
      <alignment horizontal="center" vertical="top" wrapText="1"/>
      <protection locked="0"/>
    </xf>
    <xf numFmtId="14" fontId="7" fillId="0" borderId="26" xfId="0" applyNumberFormat="1" applyFont="1" applyFill="1" applyBorder="1" applyAlignment="1" applyProtection="1">
      <alignment horizontal="center" vertical="top" wrapText="1"/>
      <protection locked="0"/>
    </xf>
    <xf numFmtId="0" fontId="3" fillId="2" borderId="5" xfId="0" applyFont="1" applyFill="1" applyBorder="1" applyAlignment="1">
      <alignment horizontal="center" wrapText="1"/>
    </xf>
    <xf numFmtId="0" fontId="3" fillId="8" borderId="7" xfId="0" applyFont="1" applyFill="1" applyBorder="1" applyAlignment="1">
      <alignment horizontal="center" wrapText="1"/>
    </xf>
    <xf numFmtId="164" fontId="7" fillId="0" borderId="8" xfId="0" applyNumberFormat="1" applyFont="1" applyFill="1" applyBorder="1" applyAlignment="1" applyProtection="1">
      <alignment vertical="top" wrapText="1"/>
      <protection locked="0"/>
    </xf>
    <xf numFmtId="164" fontId="1" fillId="0" borderId="8" xfId="0" applyNumberFormat="1" applyFont="1" applyFill="1" applyBorder="1" applyAlignment="1" applyProtection="1">
      <alignment vertical="top" wrapText="1"/>
      <protection locked="0"/>
    </xf>
    <xf numFmtId="165" fontId="5" fillId="8" borderId="10" xfId="0" applyNumberFormat="1" applyFont="1" applyFill="1" applyBorder="1" applyAlignment="1">
      <alignment horizontal="center"/>
    </xf>
    <xf numFmtId="165" fontId="11" fillId="6" borderId="9" xfId="0" applyNumberFormat="1" applyFont="1" applyFill="1" applyBorder="1" applyAlignment="1">
      <alignment vertical="top"/>
    </xf>
    <xf numFmtId="164" fontId="7" fillId="0" borderId="18" xfId="0" applyNumberFormat="1" applyFont="1" applyFill="1" applyBorder="1" applyAlignment="1" applyProtection="1">
      <alignment horizontal="center" vertical="top" wrapText="1"/>
      <protection locked="0"/>
    </xf>
    <xf numFmtId="49" fontId="12" fillId="0" borderId="22" xfId="0" applyNumberFormat="1" applyFont="1" applyFill="1" applyBorder="1" applyAlignment="1" applyProtection="1">
      <alignment horizontal="center" vertical="top" wrapText="1"/>
      <protection locked="0"/>
    </xf>
    <xf numFmtId="49" fontId="12" fillId="0" borderId="22" xfId="0" quotePrefix="1" applyNumberFormat="1" applyFont="1" applyFill="1" applyBorder="1" applyAlignment="1" applyProtection="1">
      <alignment horizontal="center" vertical="top" wrapText="1"/>
      <protection locked="0"/>
    </xf>
    <xf numFmtId="164" fontId="7" fillId="0" borderId="23" xfId="0" applyNumberFormat="1" applyFont="1" applyFill="1" applyBorder="1" applyAlignment="1" applyProtection="1">
      <alignment horizontal="center" vertical="top" wrapText="1"/>
      <protection locked="0"/>
    </xf>
    <xf numFmtId="164" fontId="7" fillId="0" borderId="26" xfId="0" applyNumberFormat="1" applyFont="1" applyFill="1" applyBorder="1" applyAlignment="1" applyProtection="1">
      <alignment horizontal="center" vertical="top" wrapText="1"/>
      <protection locked="0"/>
    </xf>
    <xf numFmtId="164" fontId="7" fillId="0" borderId="28" xfId="0" applyNumberFormat="1" applyFont="1" applyFill="1" applyBorder="1" applyAlignment="1">
      <alignment horizontal="center" vertical="top" wrapText="1"/>
    </xf>
    <xf numFmtId="49" fontId="12" fillId="0" borderId="25" xfId="0" applyNumberFormat="1" applyFont="1" applyFill="1" applyBorder="1" applyAlignment="1" applyProtection="1">
      <alignment horizontal="center" vertical="top" wrapText="1"/>
      <protection locked="0"/>
    </xf>
    <xf numFmtId="0" fontId="3" fillId="2" borderId="29" xfId="0" applyFont="1" applyFill="1" applyBorder="1" applyAlignment="1">
      <alignment horizontal="center" textRotation="90" wrapText="1"/>
    </xf>
    <xf numFmtId="0" fontId="11" fillId="9" borderId="18" xfId="0" applyFont="1" applyFill="1" applyBorder="1" applyAlignment="1">
      <alignment horizontal="center" vertical="center"/>
    </xf>
    <xf numFmtId="0" fontId="11" fillId="9" borderId="1" xfId="0" applyFont="1" applyFill="1" applyBorder="1" applyAlignment="1">
      <alignment horizontal="center" vertical="center"/>
    </xf>
    <xf numFmtId="0" fontId="1" fillId="9" borderId="8" xfId="0" applyFont="1" applyFill="1" applyBorder="1" applyAlignment="1">
      <alignment horizontal="center" vertical="center"/>
    </xf>
    <xf numFmtId="0" fontId="1" fillId="9" borderId="12" xfId="0" applyFont="1" applyFill="1" applyBorder="1" applyAlignment="1">
      <alignment horizontal="center" vertical="center"/>
    </xf>
    <xf numFmtId="0" fontId="1" fillId="9" borderId="9" xfId="0" applyFont="1" applyFill="1" applyBorder="1" applyAlignment="1">
      <alignment horizontal="center" vertical="center"/>
    </xf>
    <xf numFmtId="0" fontId="11" fillId="9" borderId="19" xfId="0" applyFont="1" applyFill="1" applyBorder="1" applyAlignment="1">
      <alignment horizontal="center" vertical="center"/>
    </xf>
    <xf numFmtId="0" fontId="11" fillId="11" borderId="18"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9" xfId="0" applyFont="1" applyFill="1" applyBorder="1" applyAlignment="1">
      <alignment horizontal="center" vertical="center"/>
    </xf>
    <xf numFmtId="0" fontId="11" fillId="12" borderId="18" xfId="0" applyFont="1" applyFill="1" applyBorder="1" applyAlignment="1">
      <alignment horizontal="center" vertical="center"/>
    </xf>
    <xf numFmtId="0" fontId="11" fillId="12" borderId="9" xfId="0" applyFont="1" applyFill="1" applyBorder="1" applyAlignment="1">
      <alignment horizontal="center" vertical="center"/>
    </xf>
    <xf numFmtId="0" fontId="11" fillId="12" borderId="1" xfId="0" applyFont="1" applyFill="1" applyBorder="1" applyAlignment="1">
      <alignment horizontal="center" vertical="center"/>
    </xf>
    <xf numFmtId="0" fontId="11" fillId="12" borderId="19" xfId="0" applyFont="1" applyFill="1" applyBorder="1" applyAlignment="1">
      <alignment horizontal="center" vertical="center"/>
    </xf>
    <xf numFmtId="0" fontId="6" fillId="5" borderId="1" xfId="0" applyNumberFormat="1" applyFont="1" applyFill="1" applyBorder="1" applyAlignment="1" applyProtection="1">
      <alignment horizontal="left" vertical="top" wrapText="1"/>
      <protection locked="0"/>
    </xf>
    <xf numFmtId="16" fontId="13" fillId="5" borderId="1" xfId="0" applyNumberFormat="1" applyFont="1" applyFill="1" applyBorder="1" applyAlignment="1" applyProtection="1">
      <alignment horizontal="left" vertical="top" wrapText="1"/>
      <protection locked="0"/>
    </xf>
    <xf numFmtId="0" fontId="9" fillId="5" borderId="1" xfId="0" applyFont="1" applyFill="1" applyBorder="1" applyAlignment="1">
      <alignment vertical="top" wrapText="1"/>
    </xf>
    <xf numFmtId="0" fontId="6" fillId="5" borderId="1" xfId="0" applyFont="1" applyFill="1" applyBorder="1" applyAlignment="1">
      <alignment vertical="top" wrapText="1"/>
    </xf>
    <xf numFmtId="0" fontId="9" fillId="5" borderId="1" xfId="0" quotePrefix="1" applyFont="1" applyFill="1" applyBorder="1" applyAlignment="1">
      <alignment vertical="top" wrapText="1"/>
    </xf>
    <xf numFmtId="0" fontId="9" fillId="5" borderId="1" xfId="0" applyNumberFormat="1" applyFont="1" applyFill="1" applyBorder="1" applyAlignment="1" applyProtection="1">
      <alignment horizontal="left" vertical="top" wrapText="1"/>
      <protection locked="0"/>
    </xf>
    <xf numFmtId="165" fontId="5" fillId="10" borderId="27" xfId="0" applyNumberFormat="1" applyFont="1" applyFill="1" applyBorder="1" applyAlignment="1">
      <alignment horizontal="center"/>
    </xf>
    <xf numFmtId="165" fontId="5" fillId="10" borderId="2" xfId="0" applyNumberFormat="1" applyFont="1" applyFill="1" applyBorder="1" applyAlignment="1">
      <alignment horizontal="center"/>
    </xf>
    <xf numFmtId="165" fontId="5" fillId="10" borderId="5" xfId="0" applyNumberFormat="1" applyFont="1" applyFill="1" applyBorder="1" applyAlignment="1">
      <alignment horizontal="center"/>
    </xf>
    <xf numFmtId="0" fontId="15" fillId="8" borderId="10" xfId="0" applyFont="1" applyFill="1" applyBorder="1" applyAlignment="1">
      <alignment horizontal="center"/>
    </xf>
    <xf numFmtId="0" fontId="15" fillId="8" borderId="4" xfId="0" applyFont="1" applyFill="1" applyBorder="1" applyAlignment="1">
      <alignment horizontal="center"/>
    </xf>
    <xf numFmtId="0" fontId="15" fillId="8" borderId="7" xfId="0" applyFont="1" applyFill="1" applyBorder="1" applyAlignment="1">
      <alignment horizontal="center"/>
    </xf>
    <xf numFmtId="0" fontId="5" fillId="5" borderId="1" xfId="0" applyFont="1" applyFill="1" applyBorder="1" applyAlignment="1">
      <alignment horizontal="center" vertical="center"/>
    </xf>
  </cellXfs>
  <cellStyles count="2">
    <cellStyle name="Link" xfId="1" builtinId="8"/>
    <cellStyle name="Standard" xfId="0" builtinId="0"/>
  </cellStyles>
  <dxfs count="4">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s>
  <tableStyles count="0" defaultTableStyle="TableStyleMedium9" defaultPivotStyle="PivotStyleLight16"/>
  <colors>
    <mruColors>
      <color rgb="FFC0C0C0"/>
      <color rgb="FF0000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mailto:info@hogenmueller.com" TargetMode="External"/><Relationship Id="rId18" Type="http://schemas.openxmlformats.org/officeDocument/2006/relationships/hyperlink" Target="mailto:spitzmuellerraumausstattung@online.de" TargetMode="External"/><Relationship Id="rId26" Type="http://schemas.openxmlformats.org/officeDocument/2006/relationships/hyperlink" Target="mailto:loewenapothekehohberg@t-online.de" TargetMode="External"/><Relationship Id="rId39" Type="http://schemas.openxmlformats.org/officeDocument/2006/relationships/hyperlink" Target="mailto:fahrschule-isenmann@t-online.de" TargetMode="External"/><Relationship Id="rId21" Type="http://schemas.openxmlformats.org/officeDocument/2006/relationships/hyperlink" Target="mailto:info@huber-gebaeudetechnik.de" TargetMode="External"/><Relationship Id="rId34" Type="http://schemas.openxmlformats.org/officeDocument/2006/relationships/hyperlink" Target="https://adresse.gelbeseiten.de/101016609808/wuerttembergische-versicherung-klaus-riehle/hohberg/hofweier" TargetMode="External"/><Relationship Id="rId42" Type="http://schemas.openxmlformats.org/officeDocument/2006/relationships/hyperlink" Target="https://sine-hoeft.de/index.html" TargetMode="External"/><Relationship Id="rId47" Type="http://schemas.openxmlformats.org/officeDocument/2006/relationships/hyperlink" Target="http://www.hautarzt-degen.de/" TargetMode="External"/><Relationship Id="rId50" Type="http://schemas.openxmlformats.org/officeDocument/2006/relationships/hyperlink" Target="mailto:mmalutzki@gmx.de" TargetMode="External"/><Relationship Id="rId55" Type="http://schemas.openxmlformats.org/officeDocument/2006/relationships/hyperlink" Target="mailto:lucia.mueller@de.markant.com" TargetMode="External"/><Relationship Id="rId63" Type="http://schemas.openxmlformats.org/officeDocument/2006/relationships/vmlDrawing" Target="../drawings/vmlDrawing1.vml"/><Relationship Id="rId7" Type="http://schemas.openxmlformats.org/officeDocument/2006/relationships/hyperlink" Target="mailto:meinradmueller@t-online.de" TargetMode="External"/><Relationship Id="rId2" Type="http://schemas.openxmlformats.org/officeDocument/2006/relationships/hyperlink" Target="mailto:info@bike-und-radschopf.de" TargetMode="External"/><Relationship Id="rId16" Type="http://schemas.openxmlformats.org/officeDocument/2006/relationships/hyperlink" Target="mailto:Info@volksbank-Lahr.de" TargetMode="External"/><Relationship Id="rId29" Type="http://schemas.openxmlformats.org/officeDocument/2006/relationships/hyperlink" Target="https://www.autoservice.com/kontakt/wid/122689.aspx" TargetMode="External"/><Relationship Id="rId11" Type="http://schemas.openxmlformats.org/officeDocument/2006/relationships/hyperlink" Target="mailto:info@malerbetrieb-roser.de" TargetMode="External"/><Relationship Id="rId24" Type="http://schemas.openxmlformats.org/officeDocument/2006/relationships/hyperlink" Target="mailto:Kaiser@hohberg.de" TargetMode="External"/><Relationship Id="rId32" Type="http://schemas.openxmlformats.org/officeDocument/2006/relationships/hyperlink" Target="mailto:mail-an@gartenbau-simon.de" TargetMode="External"/><Relationship Id="rId37" Type="http://schemas.openxmlformats.org/officeDocument/2006/relationships/hyperlink" Target="http://www.juwelier-stickel.de/Juwelier_Stickel/Home.html" TargetMode="External"/><Relationship Id="rId40" Type="http://schemas.openxmlformats.org/officeDocument/2006/relationships/hyperlink" Target="mailto:info@digitaleseiten.de" TargetMode="External"/><Relationship Id="rId45" Type="http://schemas.openxmlformats.org/officeDocument/2006/relationships/hyperlink" Target="mailto:info@tt-xpert.de" TargetMode="External"/><Relationship Id="rId53" Type="http://schemas.openxmlformats.org/officeDocument/2006/relationships/hyperlink" Target="mailto:jung.thorsten@googlemail.com" TargetMode="External"/><Relationship Id="rId58" Type="http://schemas.openxmlformats.org/officeDocument/2006/relationships/hyperlink" Target="mailto:v.gallus@ra-gallus.de" TargetMode="External"/><Relationship Id="rId5" Type="http://schemas.openxmlformats.org/officeDocument/2006/relationships/hyperlink" Target="mailto:kundenservice@edeka-kohler.de" TargetMode="External"/><Relationship Id="rId61" Type="http://schemas.openxmlformats.org/officeDocument/2006/relationships/hyperlink" Target="mailto:holzbau.muenchenbach@t-online.de" TargetMode="External"/><Relationship Id="rId19" Type="http://schemas.openxmlformats.org/officeDocument/2006/relationships/hyperlink" Target="mailto:info@fahrschule-bischler.de" TargetMode="External"/><Relationship Id="rId14" Type="http://schemas.openxmlformats.org/officeDocument/2006/relationships/hyperlink" Target="mailto:velz.willi@t-online.de" TargetMode="External"/><Relationship Id="rId22" Type="http://schemas.openxmlformats.org/officeDocument/2006/relationships/hyperlink" Target="mailto:kontakt@jehle-cnc.de" TargetMode="External"/><Relationship Id="rId27" Type="http://schemas.openxmlformats.org/officeDocument/2006/relationships/hyperlink" Target="mailto:Fahrschule-R@t-online.de" TargetMode="External"/><Relationship Id="rId30" Type="http://schemas.openxmlformats.org/officeDocument/2006/relationships/hyperlink" Target="mailto:b.isenmann@t-online.de" TargetMode="External"/><Relationship Id="rId35" Type="http://schemas.openxmlformats.org/officeDocument/2006/relationships/hyperlink" Target="mailto:info@hausderingenieure.de" TargetMode="External"/><Relationship Id="rId43" Type="http://schemas.openxmlformats.org/officeDocument/2006/relationships/hyperlink" Target="mailto:info@sine-hoeft.de" TargetMode="External"/><Relationship Id="rId48" Type="http://schemas.openxmlformats.org/officeDocument/2006/relationships/hyperlink" Target="mailto:info@sport-kuhn.de" TargetMode="External"/><Relationship Id="rId56" Type="http://schemas.openxmlformats.org/officeDocument/2006/relationships/hyperlink" Target="mailto:info@fs-dialogmarketing.de" TargetMode="External"/><Relationship Id="rId64" Type="http://schemas.openxmlformats.org/officeDocument/2006/relationships/comments" Target="../comments1.xml"/><Relationship Id="rId8" Type="http://schemas.openxmlformats.org/officeDocument/2006/relationships/hyperlink" Target="mailto:info@haustechnik-fischer-gmbh.de" TargetMode="External"/><Relationship Id="rId51" Type="http://schemas.openxmlformats.org/officeDocument/2006/relationships/hyperlink" Target="mailto:sonne.niederschopfheim@t-online.de" TargetMode="External"/><Relationship Id="rId3" Type="http://schemas.openxmlformats.org/officeDocument/2006/relationships/hyperlink" Target="mailto:kontakt@huber-buchbinder.de" TargetMode="External"/><Relationship Id="rId12" Type="http://schemas.openxmlformats.org/officeDocument/2006/relationships/hyperlink" Target="mailto:info@metallbau-ehret.de" TargetMode="External"/><Relationship Id="rId17" Type="http://schemas.openxmlformats.org/officeDocument/2006/relationships/hyperlink" Target="mailto:info@prohaga.de" TargetMode="External"/><Relationship Id="rId25" Type="http://schemas.openxmlformats.org/officeDocument/2006/relationships/hyperlink" Target="mailto:philippine-traeder@t-online.de" TargetMode="External"/><Relationship Id="rId33" Type="http://schemas.openxmlformats.org/officeDocument/2006/relationships/hyperlink" Target="mailto:Huberrai@aol.com" TargetMode="External"/><Relationship Id="rId38" Type="http://schemas.openxmlformats.org/officeDocument/2006/relationships/hyperlink" Target="mailto:design-in-metall@t-online.de" TargetMode="External"/><Relationship Id="rId46" Type="http://schemas.openxmlformats.org/officeDocument/2006/relationships/hyperlink" Target="mailto:Joachim.allgeier@vw-allgeier.de" TargetMode="External"/><Relationship Id="rId59" Type="http://schemas.openxmlformats.org/officeDocument/2006/relationships/hyperlink" Target="mailto:markus.himmelspach@schwarzwald-sprudel.de" TargetMode="External"/><Relationship Id="rId20" Type="http://schemas.openxmlformats.org/officeDocument/2006/relationships/hyperlink" Target="mailto:info@gesundheitspraxis-sauvagnat.de" TargetMode="External"/><Relationship Id="rId41" Type="http://schemas.openxmlformats.org/officeDocument/2006/relationships/hyperlink" Target="mailto:info@linde-diersburg.de" TargetMode="External"/><Relationship Id="rId54" Type="http://schemas.openxmlformats.org/officeDocument/2006/relationships/hyperlink" Target="mailto:info@maler-hug.de" TargetMode="External"/><Relationship Id="rId62" Type="http://schemas.openxmlformats.org/officeDocument/2006/relationships/printerSettings" Target="../printerSettings/printerSettings1.bin"/><Relationship Id="rId1" Type="http://schemas.openxmlformats.org/officeDocument/2006/relationships/hyperlink" Target="mailto:christian.federle@bbbank.de" TargetMode="External"/><Relationship Id="rId6" Type="http://schemas.openxmlformats.org/officeDocument/2006/relationships/hyperlink" Target="mailto:Bayer.Anette@e-werk-mittelbaden.de" TargetMode="External"/><Relationship Id="rId15" Type="http://schemas.openxmlformats.org/officeDocument/2006/relationships/hyperlink" Target="mailto:mail@sparkasse-offenburg.de" TargetMode="External"/><Relationship Id="rId23" Type="http://schemas.openxmlformats.org/officeDocument/2006/relationships/hyperlink" Target="mailto:sg@casamore.de" TargetMode="External"/><Relationship Id="rId28" Type="http://schemas.openxmlformats.org/officeDocument/2006/relationships/hyperlink" Target="mailto:info@boehringer-rps.de" TargetMode="External"/><Relationship Id="rId36" Type="http://schemas.openxmlformats.org/officeDocument/2006/relationships/hyperlink" Target="http://hausderingenieure.com/" TargetMode="External"/><Relationship Id="rId49" Type="http://schemas.openxmlformats.org/officeDocument/2006/relationships/hyperlink" Target="mailto:degen.chaos@t-online.de" TargetMode="External"/><Relationship Id="rId57" Type="http://schemas.openxmlformats.org/officeDocument/2006/relationships/hyperlink" Target="mailto:Susanne.Huber@ortenaukreis.de" TargetMode="External"/><Relationship Id="rId10" Type="http://schemas.openxmlformats.org/officeDocument/2006/relationships/hyperlink" Target="mailto:hans-herr@t-online.de" TargetMode="External"/><Relationship Id="rId31" Type="http://schemas.openxmlformats.org/officeDocument/2006/relationships/hyperlink" Target="mailto:friseurteam-hofweier@web.de" TargetMode="External"/><Relationship Id="rId44" Type="http://schemas.openxmlformats.org/officeDocument/2006/relationships/hyperlink" Target="https://www.huber-buchbinder.de/" TargetMode="External"/><Relationship Id="rId52" Type="http://schemas.openxmlformats.org/officeDocument/2006/relationships/hyperlink" Target="mailto:Juwelier-Stickel@gmx.net" TargetMode="External"/><Relationship Id="rId60" Type="http://schemas.openxmlformats.org/officeDocument/2006/relationships/hyperlink" Target="mailto:kontakt@jakoblauer.de" TargetMode="External"/><Relationship Id="rId4" Type="http://schemas.openxmlformats.org/officeDocument/2006/relationships/hyperlink" Target="mailto:ute.reinecke@ead-reinecke.de" TargetMode="External"/><Relationship Id="rId9" Type="http://schemas.openxmlformats.org/officeDocument/2006/relationships/hyperlink" Target="mailto:zimmerei@holzbau-mingolla.d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filterMode="1"/>
  <dimension ref="A1:AI147"/>
  <sheetViews>
    <sheetView tabSelected="1" zoomScaleNormal="100" workbookViewId="0">
      <pane xSplit="1" ySplit="3" topLeftCell="D4" activePane="bottomRight" state="frozen"/>
      <selection pane="topRight" activeCell="B1" sqref="B1"/>
      <selection pane="bottomLeft" activeCell="A7" sqref="A7"/>
      <selection pane="bottomRight" sqref="A1:XFD1"/>
    </sheetView>
  </sheetViews>
  <sheetFormatPr baseColWidth="10" defaultColWidth="11.42578125" defaultRowHeight="14.25" x14ac:dyDescent="0.25"/>
  <cols>
    <col min="1" max="1" width="46.85546875" style="44" customWidth="1"/>
    <col min="2" max="2" width="24.28515625" style="15" customWidth="1"/>
    <col min="3" max="3" width="36.28515625" style="15" customWidth="1"/>
    <col min="4" max="4" width="17.7109375" style="15" customWidth="1"/>
    <col min="5" max="5" width="21.7109375" style="15" customWidth="1"/>
    <col min="6" max="10" width="3.7109375" style="15" customWidth="1"/>
    <col min="11" max="11" width="4.28515625" style="15" customWidth="1"/>
    <col min="12" max="21" width="10.42578125" style="15" bestFit="1" customWidth="1"/>
    <col min="22" max="35" width="3.42578125" style="15" customWidth="1"/>
    <col min="36" max="145" width="18.7109375" style="15" customWidth="1"/>
    <col min="146" max="16384" width="11.42578125" style="15"/>
  </cols>
  <sheetData>
    <row r="1" spans="1:35" s="41" customFormat="1" ht="190.9" customHeight="1" x14ac:dyDescent="0.25">
      <c r="A1" s="39" t="s">
        <v>19</v>
      </c>
      <c r="B1" s="38" t="s">
        <v>20</v>
      </c>
      <c r="C1" s="38" t="s">
        <v>21</v>
      </c>
      <c r="D1" s="21" t="s">
        <v>78</v>
      </c>
      <c r="E1" s="60" t="s">
        <v>22</v>
      </c>
      <c r="F1" s="49" t="s">
        <v>302</v>
      </c>
      <c r="G1" s="29" t="s">
        <v>155</v>
      </c>
      <c r="H1" s="19" t="s">
        <v>159</v>
      </c>
      <c r="I1" s="36" t="s">
        <v>117</v>
      </c>
      <c r="J1" s="37" t="s">
        <v>118</v>
      </c>
      <c r="K1" s="50" t="s">
        <v>267</v>
      </c>
      <c r="L1" s="96">
        <v>2020</v>
      </c>
      <c r="M1" s="97">
        <v>2019</v>
      </c>
      <c r="N1" s="98">
        <v>2018</v>
      </c>
      <c r="O1" s="98">
        <v>2017</v>
      </c>
      <c r="P1" s="98">
        <v>2016</v>
      </c>
      <c r="Q1" s="98">
        <v>2015</v>
      </c>
      <c r="R1" s="98">
        <v>2014</v>
      </c>
      <c r="S1" s="98">
        <v>2013</v>
      </c>
      <c r="T1" s="98">
        <v>2012</v>
      </c>
      <c r="U1" s="98">
        <v>2011</v>
      </c>
      <c r="V1" s="49" t="s">
        <v>223</v>
      </c>
      <c r="W1" s="29" t="s">
        <v>303</v>
      </c>
      <c r="X1" s="29" t="s">
        <v>304</v>
      </c>
      <c r="Y1" s="50" t="s">
        <v>250</v>
      </c>
      <c r="Z1" s="73" t="s">
        <v>305</v>
      </c>
      <c r="AA1" s="37" t="s">
        <v>300</v>
      </c>
      <c r="AB1" s="29" t="s">
        <v>256</v>
      </c>
      <c r="AC1" s="29" t="s">
        <v>251</v>
      </c>
      <c r="AD1" s="29" t="s">
        <v>252</v>
      </c>
      <c r="AE1" s="29" t="s">
        <v>253</v>
      </c>
      <c r="AF1" s="29" t="s">
        <v>254</v>
      </c>
      <c r="AG1" s="29" t="s">
        <v>255</v>
      </c>
      <c r="AH1" s="29" t="s">
        <v>232</v>
      </c>
      <c r="AI1" s="50" t="s">
        <v>233</v>
      </c>
    </row>
    <row r="2" spans="1:35" s="40" customFormat="1" ht="18" x14ac:dyDescent="0.25">
      <c r="A2" s="99" t="str">
        <f>"Anzahl Kontakte in Liste: " &amp; SUBTOTAL(3,C2:C147)</f>
        <v>Anzahl Kontakte in Liste: 47</v>
      </c>
      <c r="B2" s="10"/>
      <c r="C2" s="10"/>
      <c r="D2" s="10"/>
      <c r="E2" s="10"/>
      <c r="F2" s="74">
        <f>COUNTIF(F6:F147,"X")</f>
        <v>11</v>
      </c>
      <c r="G2" s="75">
        <f>COUNTIF(G6:G147,"X")</f>
        <v>0</v>
      </c>
      <c r="H2" s="76">
        <f>COUNTIF(H6:H147,"X")</f>
        <v>0</v>
      </c>
      <c r="I2" s="77">
        <f>COUNTIF(I4:I147,"J")</f>
        <v>0</v>
      </c>
      <c r="J2" s="78">
        <v>53</v>
      </c>
      <c r="K2" s="79">
        <f>COUNTIF(K6:K91,"X")</f>
        <v>0</v>
      </c>
      <c r="L2" s="93">
        <f t="shared" ref="L2:U2" si="0">SUBTOTAL(9,L4:L99)</f>
        <v>850</v>
      </c>
      <c r="M2" s="94">
        <f t="shared" si="0"/>
        <v>5050</v>
      </c>
      <c r="N2" s="95">
        <f t="shared" si="0"/>
        <v>2650</v>
      </c>
      <c r="O2" s="95">
        <f t="shared" si="0"/>
        <v>1100</v>
      </c>
      <c r="P2" s="95">
        <f t="shared" si="0"/>
        <v>1600</v>
      </c>
      <c r="Q2" s="95">
        <f t="shared" si="0"/>
        <v>400</v>
      </c>
      <c r="R2" s="95">
        <f t="shared" si="0"/>
        <v>100</v>
      </c>
      <c r="S2" s="95">
        <f t="shared" si="0"/>
        <v>100</v>
      </c>
      <c r="T2" s="95">
        <f t="shared" si="0"/>
        <v>400</v>
      </c>
      <c r="U2" s="95">
        <f t="shared" si="0"/>
        <v>100</v>
      </c>
      <c r="V2" s="80">
        <f>COUNTIF(V6:V91,"X")</f>
        <v>1</v>
      </c>
      <c r="W2" s="81">
        <f>COUNTIF(W6:W91,"X")</f>
        <v>3</v>
      </c>
      <c r="X2" s="81">
        <f>COUNTIF(X6:X91,"X")</f>
        <v>1</v>
      </c>
      <c r="Y2" s="82">
        <f>COUNTIF(Y6:Y91,"X")</f>
        <v>0</v>
      </c>
      <c r="Z2" s="83">
        <f t="shared" ref="Z2:AI2" si="1">COUNTIF(Z6:Z91,"X")</f>
        <v>0</v>
      </c>
      <c r="AA2" s="84">
        <f t="shared" ref="AA2" si="2">COUNTIF(AA6:AA91,"X")</f>
        <v>1</v>
      </c>
      <c r="AB2" s="85">
        <f t="shared" si="1"/>
        <v>1</v>
      </c>
      <c r="AC2" s="85">
        <f t="shared" si="1"/>
        <v>1</v>
      </c>
      <c r="AD2" s="85">
        <f t="shared" si="1"/>
        <v>0</v>
      </c>
      <c r="AE2" s="85">
        <f t="shared" si="1"/>
        <v>1</v>
      </c>
      <c r="AF2" s="85">
        <f t="shared" si="1"/>
        <v>1</v>
      </c>
      <c r="AG2" s="85">
        <f t="shared" si="1"/>
        <v>0</v>
      </c>
      <c r="AH2" s="85">
        <f t="shared" si="1"/>
        <v>1</v>
      </c>
      <c r="AI2" s="86">
        <f t="shared" si="1"/>
        <v>1</v>
      </c>
    </row>
    <row r="3" spans="1:35" s="41" customFormat="1" ht="14.45" customHeight="1" x14ac:dyDescent="0.25">
      <c r="A3" s="30"/>
      <c r="B3" s="31"/>
      <c r="C3" s="31"/>
      <c r="D3" s="31"/>
      <c r="E3" s="61"/>
      <c r="F3" s="51"/>
      <c r="G3" s="32"/>
      <c r="H3" s="33"/>
      <c r="I3" s="35"/>
      <c r="J3" s="34"/>
      <c r="K3" s="52"/>
      <c r="L3" s="64"/>
      <c r="M3" s="42"/>
      <c r="N3" s="47"/>
      <c r="O3" s="47"/>
      <c r="P3" s="47"/>
      <c r="Q3" s="47"/>
      <c r="R3" s="47"/>
      <c r="S3" s="47"/>
      <c r="T3" s="47"/>
      <c r="U3" s="47"/>
      <c r="V3" s="51"/>
      <c r="W3" s="32"/>
      <c r="X3" s="32"/>
      <c r="Y3" s="52"/>
      <c r="Z3" s="51"/>
      <c r="AA3" s="34"/>
      <c r="AB3" s="32"/>
      <c r="AC3" s="32"/>
      <c r="AD3" s="32"/>
      <c r="AE3" s="32"/>
      <c r="AF3" s="32"/>
      <c r="AG3" s="32"/>
      <c r="AH3" s="32"/>
      <c r="AI3" s="52"/>
    </row>
    <row r="4" spans="1:35" s="14" customFormat="1" ht="16.350000000000001" hidden="1" customHeight="1" x14ac:dyDescent="0.25">
      <c r="A4" s="90" t="s">
        <v>44</v>
      </c>
      <c r="B4" s="11" t="s">
        <v>56</v>
      </c>
      <c r="C4" s="11" t="s">
        <v>76</v>
      </c>
      <c r="D4" s="11" t="s">
        <v>90</v>
      </c>
      <c r="E4" s="62" t="s">
        <v>56</v>
      </c>
      <c r="F4" s="66"/>
      <c r="G4" s="24"/>
      <c r="H4" s="25"/>
      <c r="I4" s="45"/>
      <c r="J4" s="26"/>
      <c r="K4" s="67"/>
      <c r="L4" s="65"/>
      <c r="M4" s="43"/>
      <c r="N4" s="48"/>
      <c r="O4" s="48"/>
      <c r="P4" s="48"/>
      <c r="Q4" s="48"/>
      <c r="R4" s="48"/>
      <c r="S4" s="48"/>
      <c r="T4" s="48"/>
      <c r="U4" s="48"/>
      <c r="V4" s="53"/>
      <c r="W4" s="26"/>
      <c r="X4" s="26"/>
      <c r="Y4" s="54"/>
      <c r="Z4" s="53"/>
      <c r="AA4" s="26"/>
      <c r="AB4" s="22"/>
      <c r="AC4" s="22"/>
      <c r="AD4" s="26"/>
      <c r="AE4" s="26"/>
      <c r="AF4" s="26"/>
      <c r="AG4" s="26"/>
      <c r="AH4" s="26"/>
      <c r="AI4" s="54"/>
    </row>
    <row r="5" spans="1:35" s="14" customFormat="1" ht="16.350000000000001" customHeight="1" x14ac:dyDescent="0.25">
      <c r="A5" s="87" t="s">
        <v>145</v>
      </c>
      <c r="B5" s="11" t="s">
        <v>146</v>
      </c>
      <c r="C5" s="13" t="s">
        <v>148</v>
      </c>
      <c r="D5" s="11" t="s">
        <v>147</v>
      </c>
      <c r="E5" s="62" t="s">
        <v>158</v>
      </c>
      <c r="F5" s="66"/>
      <c r="G5" s="24"/>
      <c r="H5" s="23"/>
      <c r="I5" s="45"/>
      <c r="J5" s="26"/>
      <c r="K5" s="67"/>
      <c r="L5" s="65"/>
      <c r="M5" s="43">
        <v>50</v>
      </c>
      <c r="N5" s="48">
        <v>50</v>
      </c>
      <c r="O5" s="48"/>
      <c r="P5" s="48"/>
      <c r="Q5" s="48"/>
      <c r="R5" s="48"/>
      <c r="S5" s="48"/>
      <c r="T5" s="48"/>
      <c r="U5" s="48"/>
      <c r="V5" s="53"/>
      <c r="W5" s="26"/>
      <c r="X5" s="26"/>
      <c r="Y5" s="54"/>
      <c r="Z5" s="53"/>
      <c r="AA5" s="26"/>
      <c r="AB5" s="22"/>
      <c r="AC5" s="22"/>
      <c r="AD5" s="26"/>
      <c r="AE5" s="26"/>
      <c r="AF5" s="26"/>
      <c r="AG5" s="26"/>
      <c r="AH5" s="26"/>
      <c r="AI5" s="54"/>
    </row>
    <row r="6" spans="1:35" s="14" customFormat="1" ht="16.350000000000001" customHeight="1" x14ac:dyDescent="0.25">
      <c r="A6" s="88" t="s">
        <v>220</v>
      </c>
      <c r="B6" s="11" t="s">
        <v>293</v>
      </c>
      <c r="C6" s="13" t="s">
        <v>294</v>
      </c>
      <c r="D6" s="18" t="s">
        <v>181</v>
      </c>
      <c r="E6" s="62" t="s">
        <v>180</v>
      </c>
      <c r="F6" s="66"/>
      <c r="G6" s="24"/>
      <c r="H6" s="25"/>
      <c r="I6" s="45"/>
      <c r="J6" s="26"/>
      <c r="K6" s="67"/>
      <c r="L6" s="43">
        <v>100</v>
      </c>
      <c r="M6" s="43">
        <v>300</v>
      </c>
      <c r="N6" s="48">
        <v>200</v>
      </c>
      <c r="O6" s="48"/>
      <c r="P6" s="48"/>
      <c r="Q6" s="48"/>
      <c r="R6" s="48"/>
      <c r="S6" s="48"/>
      <c r="T6" s="48"/>
      <c r="U6" s="48"/>
      <c r="V6" s="53"/>
      <c r="W6" s="26"/>
      <c r="X6" s="26"/>
      <c r="Y6" s="54"/>
      <c r="Z6" s="53"/>
      <c r="AA6" s="26"/>
      <c r="AB6" s="22"/>
      <c r="AC6" s="22"/>
      <c r="AD6" s="26"/>
      <c r="AE6" s="26"/>
      <c r="AF6" s="26"/>
      <c r="AG6" s="26"/>
      <c r="AH6" s="26"/>
      <c r="AI6" s="54"/>
    </row>
    <row r="7" spans="1:35" s="14" customFormat="1" ht="16.350000000000001" hidden="1" customHeight="1" x14ac:dyDescent="0.25">
      <c r="A7" s="87" t="s">
        <v>184</v>
      </c>
      <c r="B7" s="11" t="s">
        <v>189</v>
      </c>
      <c r="C7" s="13" t="s">
        <v>190</v>
      </c>
      <c r="D7" s="11" t="s">
        <v>191</v>
      </c>
      <c r="E7" s="62" t="s">
        <v>10</v>
      </c>
      <c r="F7" s="66" t="s">
        <v>259</v>
      </c>
      <c r="G7" s="24"/>
      <c r="H7" s="25"/>
      <c r="I7" s="45"/>
      <c r="J7" s="26"/>
      <c r="K7" s="67"/>
      <c r="L7" s="65"/>
      <c r="M7" s="43"/>
      <c r="N7" s="48"/>
      <c r="O7" s="48"/>
      <c r="P7" s="48"/>
      <c r="Q7" s="48"/>
      <c r="R7" s="48"/>
      <c r="S7" s="48"/>
      <c r="T7" s="48"/>
      <c r="U7" s="48"/>
      <c r="V7" s="53"/>
      <c r="W7" s="26"/>
      <c r="X7" s="26"/>
      <c r="Y7" s="54"/>
      <c r="Z7" s="53"/>
      <c r="AA7" s="26"/>
      <c r="AB7" s="22"/>
      <c r="AC7" s="22"/>
      <c r="AD7" s="26"/>
      <c r="AE7" s="26"/>
      <c r="AF7" s="26"/>
      <c r="AG7" s="26"/>
      <c r="AH7" s="26"/>
      <c r="AI7" s="54"/>
    </row>
    <row r="8" spans="1:35" s="14" customFormat="1" ht="16.350000000000001" hidden="1" customHeight="1" x14ac:dyDescent="0.25">
      <c r="A8" s="87" t="s">
        <v>141</v>
      </c>
      <c r="B8" s="11" t="s">
        <v>142</v>
      </c>
      <c r="C8" s="13" t="s">
        <v>144</v>
      </c>
      <c r="D8" s="11" t="s">
        <v>143</v>
      </c>
      <c r="E8" s="62" t="s">
        <v>166</v>
      </c>
      <c r="F8" s="66" t="s">
        <v>259</v>
      </c>
      <c r="G8" s="24"/>
      <c r="H8" s="23"/>
      <c r="I8" s="45"/>
      <c r="J8" s="26"/>
      <c r="K8" s="67"/>
      <c r="L8" s="65"/>
      <c r="M8" s="43"/>
      <c r="N8" s="48"/>
      <c r="O8" s="48"/>
      <c r="P8" s="48"/>
      <c r="Q8" s="48"/>
      <c r="R8" s="48"/>
      <c r="S8" s="48"/>
      <c r="T8" s="48"/>
      <c r="U8" s="48"/>
      <c r="V8" s="53"/>
      <c r="W8" s="26"/>
      <c r="X8" s="26"/>
      <c r="Y8" s="54"/>
      <c r="Z8" s="53"/>
      <c r="AA8" s="26"/>
      <c r="AB8" s="22"/>
      <c r="AC8" s="22"/>
      <c r="AD8" s="26"/>
      <c r="AE8" s="26"/>
      <c r="AF8" s="26"/>
      <c r="AG8" s="26"/>
      <c r="AH8" s="26"/>
      <c r="AI8" s="54"/>
    </row>
    <row r="9" spans="1:35" s="14" customFormat="1" ht="16.350000000000001" customHeight="1" x14ac:dyDescent="0.25">
      <c r="A9" s="87" t="s">
        <v>301</v>
      </c>
      <c r="B9" s="11"/>
      <c r="C9" s="11"/>
      <c r="D9" s="11"/>
      <c r="E9" s="62" t="s">
        <v>180</v>
      </c>
      <c r="F9" s="66"/>
      <c r="G9" s="24"/>
      <c r="H9" s="25"/>
      <c r="I9" s="45"/>
      <c r="J9" s="26"/>
      <c r="K9" s="67"/>
      <c r="L9" s="65">
        <v>100</v>
      </c>
      <c r="M9" s="43"/>
      <c r="N9" s="48"/>
      <c r="O9" s="48"/>
      <c r="P9" s="48"/>
      <c r="Q9" s="48"/>
      <c r="R9" s="48"/>
      <c r="S9" s="48"/>
      <c r="T9" s="48"/>
      <c r="U9" s="48"/>
      <c r="V9" s="53"/>
      <c r="W9" s="26"/>
      <c r="X9" s="26"/>
      <c r="Y9" s="54"/>
      <c r="Z9" s="53"/>
      <c r="AA9" s="26"/>
      <c r="AB9" s="22"/>
      <c r="AC9" s="22"/>
      <c r="AD9" s="26"/>
      <c r="AE9" s="26"/>
      <c r="AF9" s="26"/>
      <c r="AG9" s="26"/>
      <c r="AH9" s="26"/>
      <c r="AI9" s="54"/>
    </row>
    <row r="10" spans="1:35" s="14" customFormat="1" ht="16.350000000000001" customHeight="1" x14ac:dyDescent="0.25">
      <c r="A10" s="89" t="s">
        <v>129</v>
      </c>
      <c r="B10" s="11"/>
      <c r="C10" s="13" t="s">
        <v>128</v>
      </c>
      <c r="D10" s="11" t="s">
        <v>115</v>
      </c>
      <c r="E10" s="62" t="s">
        <v>167</v>
      </c>
      <c r="F10" s="66"/>
      <c r="G10" s="24"/>
      <c r="H10" s="25"/>
      <c r="I10" s="45"/>
      <c r="J10" s="26"/>
      <c r="K10" s="67"/>
      <c r="L10" s="48"/>
      <c r="M10" s="43"/>
      <c r="N10" s="48"/>
      <c r="O10" s="48"/>
      <c r="P10" s="48"/>
      <c r="Q10" s="48"/>
      <c r="R10" s="48"/>
      <c r="S10" s="48"/>
      <c r="T10" s="48"/>
      <c r="U10" s="48"/>
      <c r="V10" s="53"/>
      <c r="W10" s="26"/>
      <c r="X10" s="26"/>
      <c r="Y10" s="54"/>
      <c r="Z10" s="53"/>
      <c r="AA10" s="26"/>
      <c r="AB10" s="22"/>
      <c r="AC10" s="22"/>
      <c r="AD10" s="26"/>
      <c r="AE10" s="26"/>
      <c r="AF10" s="26"/>
      <c r="AG10" s="26"/>
      <c r="AH10" s="26"/>
      <c r="AI10" s="54"/>
    </row>
    <row r="11" spans="1:35" s="14" customFormat="1" ht="16.350000000000001" customHeight="1" x14ac:dyDescent="0.25">
      <c r="A11" s="89" t="s">
        <v>39</v>
      </c>
      <c r="B11" s="11" t="s">
        <v>58</v>
      </c>
      <c r="C11" s="13" t="s">
        <v>63</v>
      </c>
      <c r="D11" s="16" t="s">
        <v>109</v>
      </c>
      <c r="E11" s="62" t="s">
        <v>167</v>
      </c>
      <c r="F11" s="66"/>
      <c r="G11" s="24"/>
      <c r="H11" s="25"/>
      <c r="I11" s="45"/>
      <c r="J11" s="26"/>
      <c r="K11" s="67"/>
      <c r="L11" s="65"/>
      <c r="M11" s="43">
        <v>50</v>
      </c>
      <c r="N11" s="48">
        <v>50</v>
      </c>
      <c r="O11" s="48"/>
      <c r="P11" s="48"/>
      <c r="Q11" s="48"/>
      <c r="R11" s="48"/>
      <c r="S11" s="48"/>
      <c r="T11" s="48"/>
      <c r="U11" s="48"/>
      <c r="V11" s="53"/>
      <c r="W11" s="26"/>
      <c r="X11" s="26"/>
      <c r="Y11" s="54"/>
      <c r="Z11" s="53"/>
      <c r="AA11" s="26"/>
      <c r="AB11" s="22"/>
      <c r="AC11" s="22"/>
      <c r="AD11" s="26"/>
      <c r="AE11" s="26"/>
      <c r="AF11" s="26"/>
      <c r="AG11" s="26"/>
      <c r="AH11" s="26"/>
      <c r="AI11" s="54"/>
    </row>
    <row r="12" spans="1:35" s="14" customFormat="1" ht="16.350000000000001" customHeight="1" x14ac:dyDescent="0.25">
      <c r="A12" s="87" t="s">
        <v>122</v>
      </c>
      <c r="B12" s="11" t="s">
        <v>123</v>
      </c>
      <c r="C12" s="13" t="s">
        <v>125</v>
      </c>
      <c r="D12" s="11" t="s">
        <v>124</v>
      </c>
      <c r="E12" s="62" t="s">
        <v>167</v>
      </c>
      <c r="F12" s="66"/>
      <c r="G12" s="24"/>
      <c r="H12" s="25"/>
      <c r="I12" s="45"/>
      <c r="J12" s="26"/>
      <c r="K12" s="67"/>
      <c r="L12" s="65"/>
      <c r="M12" s="43">
        <v>50</v>
      </c>
      <c r="N12" s="48">
        <v>50</v>
      </c>
      <c r="O12" s="48"/>
      <c r="P12" s="48"/>
      <c r="Q12" s="48"/>
      <c r="R12" s="48"/>
      <c r="S12" s="48"/>
      <c r="T12" s="48"/>
      <c r="U12" s="48"/>
      <c r="V12" s="53"/>
      <c r="W12" s="26"/>
      <c r="X12" s="26"/>
      <c r="Y12" s="54"/>
      <c r="Z12" s="53"/>
      <c r="AA12" s="26"/>
      <c r="AB12" s="22"/>
      <c r="AC12" s="22"/>
      <c r="AD12" s="26"/>
      <c r="AE12" s="26"/>
      <c r="AF12" s="26"/>
      <c r="AG12" s="26"/>
      <c r="AH12" s="26"/>
      <c r="AI12" s="54"/>
    </row>
    <row r="13" spans="1:35" s="14" customFormat="1" ht="16.350000000000001" hidden="1" customHeight="1" x14ac:dyDescent="0.25">
      <c r="A13" s="90" t="s">
        <v>43</v>
      </c>
      <c r="B13" s="11" t="s">
        <v>173</v>
      </c>
      <c r="C13" s="13" t="s">
        <v>87</v>
      </c>
      <c r="D13" s="11" t="s">
        <v>88</v>
      </c>
      <c r="E13" s="62" t="s">
        <v>166</v>
      </c>
      <c r="F13" s="66" t="s">
        <v>259</v>
      </c>
      <c r="G13" s="24"/>
      <c r="H13" s="23"/>
      <c r="I13" s="45"/>
      <c r="J13" s="26"/>
      <c r="K13" s="67"/>
      <c r="L13" s="65"/>
      <c r="M13" s="43"/>
      <c r="N13" s="48"/>
      <c r="O13" s="48"/>
      <c r="P13" s="48"/>
      <c r="Q13" s="48"/>
      <c r="R13" s="48"/>
      <c r="S13" s="48"/>
      <c r="T13" s="48"/>
      <c r="U13" s="48"/>
      <c r="V13" s="53"/>
      <c r="W13" s="26"/>
      <c r="X13" s="26"/>
      <c r="Y13" s="54"/>
      <c r="Z13" s="53"/>
      <c r="AA13" s="26"/>
      <c r="AB13" s="22"/>
      <c r="AC13" s="22"/>
      <c r="AD13" s="26"/>
      <c r="AE13" s="26"/>
      <c r="AF13" s="26"/>
      <c r="AG13" s="26"/>
      <c r="AH13" s="26"/>
      <c r="AI13" s="54"/>
    </row>
    <row r="14" spans="1:35" s="14" customFormat="1" ht="16.350000000000001" customHeight="1" x14ac:dyDescent="0.25">
      <c r="A14" s="89" t="s">
        <v>38</v>
      </c>
      <c r="B14" s="11" t="s">
        <v>57</v>
      </c>
      <c r="C14" s="13" t="s">
        <v>62</v>
      </c>
      <c r="D14" s="16" t="s">
        <v>108</v>
      </c>
      <c r="E14" s="62" t="s">
        <v>160</v>
      </c>
      <c r="F14" s="66"/>
      <c r="G14" s="24"/>
      <c r="H14" s="27"/>
      <c r="I14" s="45"/>
      <c r="J14" s="26"/>
      <c r="K14" s="67"/>
      <c r="L14" s="65"/>
      <c r="M14" s="43"/>
      <c r="N14" s="48"/>
      <c r="O14" s="48"/>
      <c r="P14" s="48"/>
      <c r="Q14" s="48"/>
      <c r="R14" s="48"/>
      <c r="S14" s="48"/>
      <c r="T14" s="48"/>
      <c r="U14" s="48"/>
      <c r="V14" s="53"/>
      <c r="W14" s="26"/>
      <c r="X14" s="26"/>
      <c r="Y14" s="54"/>
      <c r="Z14" s="53"/>
      <c r="AA14" s="26"/>
      <c r="AB14" s="22"/>
      <c r="AC14" s="22"/>
      <c r="AD14" s="26"/>
      <c r="AE14" s="26"/>
      <c r="AF14" s="26"/>
      <c r="AG14" s="26"/>
      <c r="AH14" s="26"/>
      <c r="AI14" s="54"/>
    </row>
    <row r="15" spans="1:35" s="14" customFormat="1" ht="16.350000000000001" customHeight="1" x14ac:dyDescent="0.25">
      <c r="A15" s="88" t="s">
        <v>213</v>
      </c>
      <c r="B15" s="11" t="s">
        <v>214</v>
      </c>
      <c r="C15" s="13" t="s">
        <v>203</v>
      </c>
      <c r="D15" s="11" t="s">
        <v>204</v>
      </c>
      <c r="E15" s="62" t="s">
        <v>212</v>
      </c>
      <c r="F15" s="66"/>
      <c r="G15" s="24"/>
      <c r="H15" s="25"/>
      <c r="I15" s="45"/>
      <c r="J15" s="26"/>
      <c r="K15" s="67"/>
      <c r="L15" s="48"/>
      <c r="M15" s="43">
        <v>150</v>
      </c>
      <c r="N15" s="48">
        <v>150</v>
      </c>
      <c r="O15" s="48"/>
      <c r="P15" s="48"/>
      <c r="Q15" s="48"/>
      <c r="R15" s="48"/>
      <c r="S15" s="48"/>
      <c r="T15" s="48"/>
      <c r="U15" s="48"/>
      <c r="V15" s="53"/>
      <c r="W15" s="26"/>
      <c r="X15" s="26"/>
      <c r="Y15" s="54"/>
      <c r="Z15" s="53"/>
      <c r="AA15" s="26"/>
      <c r="AB15" s="22"/>
      <c r="AC15" s="22"/>
      <c r="AD15" s="26"/>
      <c r="AE15" s="26"/>
      <c r="AF15" s="26"/>
      <c r="AG15" s="26"/>
      <c r="AH15" s="26"/>
      <c r="AI15" s="54"/>
    </row>
    <row r="16" spans="1:35" s="14" customFormat="1" ht="16.350000000000001" hidden="1" customHeight="1" x14ac:dyDescent="0.25">
      <c r="A16" s="89" t="s">
        <v>28</v>
      </c>
      <c r="B16" s="11" t="s">
        <v>194</v>
      </c>
      <c r="C16" s="13" t="s">
        <v>67</v>
      </c>
      <c r="D16" s="16" t="s">
        <v>95</v>
      </c>
      <c r="E16" s="62" t="s">
        <v>121</v>
      </c>
      <c r="F16" s="66" t="s">
        <v>259</v>
      </c>
      <c r="G16" s="24"/>
      <c r="H16" s="23"/>
      <c r="I16" s="45"/>
      <c r="J16" s="26"/>
      <c r="K16" s="67"/>
      <c r="L16" s="43"/>
      <c r="M16" s="43"/>
      <c r="N16" s="48"/>
      <c r="O16" s="48" t="s">
        <v>306</v>
      </c>
      <c r="P16" s="48" t="s">
        <v>306</v>
      </c>
      <c r="Q16" s="48" t="s">
        <v>306</v>
      </c>
      <c r="R16" s="48" t="s">
        <v>306</v>
      </c>
      <c r="S16" s="48" t="s">
        <v>306</v>
      </c>
      <c r="T16" s="48" t="s">
        <v>306</v>
      </c>
      <c r="U16" s="48">
        <v>300</v>
      </c>
      <c r="V16" s="53"/>
      <c r="W16" s="26"/>
      <c r="X16" s="26"/>
      <c r="Y16" s="54"/>
      <c r="Z16" s="53"/>
      <c r="AA16" s="26"/>
      <c r="AB16" s="22"/>
      <c r="AC16" s="22"/>
      <c r="AD16" s="26"/>
      <c r="AE16" s="26"/>
      <c r="AF16" s="26"/>
      <c r="AG16" s="26"/>
      <c r="AH16" s="26"/>
      <c r="AI16" s="54"/>
    </row>
    <row r="17" spans="1:35" s="14" customFormat="1" ht="16.350000000000001" customHeight="1" x14ac:dyDescent="0.25">
      <c r="A17" s="89" t="s">
        <v>24</v>
      </c>
      <c r="B17" s="11" t="s">
        <v>45</v>
      </c>
      <c r="C17" s="13" t="s">
        <v>64</v>
      </c>
      <c r="D17" s="16" t="s">
        <v>91</v>
      </c>
      <c r="E17" s="62" t="s">
        <v>212</v>
      </c>
      <c r="F17" s="66"/>
      <c r="G17" s="24"/>
      <c r="H17" s="28"/>
      <c r="I17" s="45"/>
      <c r="J17" s="26"/>
      <c r="K17" s="67"/>
      <c r="L17" s="65"/>
      <c r="M17" s="43"/>
      <c r="N17" s="48">
        <v>0</v>
      </c>
      <c r="O17" s="48"/>
      <c r="P17" s="48">
        <v>1500</v>
      </c>
      <c r="Q17" s="48"/>
      <c r="R17" s="48"/>
      <c r="S17" s="48"/>
      <c r="T17" s="48"/>
      <c r="U17" s="48"/>
      <c r="V17" s="53"/>
      <c r="W17" s="26"/>
      <c r="X17" s="26"/>
      <c r="Y17" s="54"/>
      <c r="Z17" s="53"/>
      <c r="AA17" s="26"/>
      <c r="AB17" s="22"/>
      <c r="AC17" s="22"/>
      <c r="AD17" s="26"/>
      <c r="AE17" s="26"/>
      <c r="AF17" s="26"/>
      <c r="AG17" s="26"/>
      <c r="AH17" s="26"/>
      <c r="AI17" s="54"/>
    </row>
    <row r="18" spans="1:35" s="14" customFormat="1" ht="16.350000000000001" customHeight="1" x14ac:dyDescent="0.25">
      <c r="A18" s="89" t="s">
        <v>25</v>
      </c>
      <c r="B18" s="11" t="s">
        <v>46</v>
      </c>
      <c r="C18" s="13" t="s">
        <v>65</v>
      </c>
      <c r="D18" s="16" t="s">
        <v>92</v>
      </c>
      <c r="E18" s="62" t="s">
        <v>212</v>
      </c>
      <c r="F18" s="66"/>
      <c r="G18" s="24"/>
      <c r="H18" s="25"/>
      <c r="I18" s="45"/>
      <c r="J18" s="20"/>
      <c r="K18" s="68"/>
      <c r="L18" s="48"/>
      <c r="M18" s="43"/>
      <c r="N18" s="48">
        <v>300</v>
      </c>
      <c r="O18" s="48"/>
      <c r="P18" s="48"/>
      <c r="Q18" s="48">
        <v>300</v>
      </c>
      <c r="R18" s="48"/>
      <c r="S18" s="48"/>
      <c r="T18" s="48">
        <v>300</v>
      </c>
      <c r="U18" s="48"/>
      <c r="V18" s="53"/>
      <c r="W18" s="26"/>
      <c r="X18" s="26"/>
      <c r="Y18" s="55"/>
      <c r="Z18" s="53"/>
      <c r="AA18" s="26"/>
      <c r="AB18" s="22"/>
      <c r="AC18" s="22"/>
      <c r="AD18" s="26"/>
      <c r="AE18" s="26"/>
      <c r="AF18" s="26"/>
      <c r="AG18" s="26"/>
      <c r="AH18" s="26"/>
      <c r="AI18" s="54"/>
    </row>
    <row r="19" spans="1:35" s="14" customFormat="1" ht="16.350000000000001" customHeight="1" x14ac:dyDescent="0.25">
      <c r="A19" s="89" t="s">
        <v>30</v>
      </c>
      <c r="B19" s="11" t="s">
        <v>237</v>
      </c>
      <c r="C19" s="13" t="s">
        <v>235</v>
      </c>
      <c r="D19" s="16" t="s">
        <v>97</v>
      </c>
      <c r="E19" s="62" t="s">
        <v>212</v>
      </c>
      <c r="F19" s="66"/>
      <c r="G19" s="24"/>
      <c r="H19" s="25"/>
      <c r="I19" s="45"/>
      <c r="J19" s="26"/>
      <c r="K19" s="67"/>
      <c r="L19" s="65"/>
      <c r="M19" s="43"/>
      <c r="N19" s="48">
        <v>100</v>
      </c>
      <c r="O19" s="48"/>
      <c r="P19" s="48"/>
      <c r="Q19" s="48"/>
      <c r="R19" s="48"/>
      <c r="S19" s="48"/>
      <c r="T19" s="48"/>
      <c r="U19" s="48"/>
      <c r="V19" s="53"/>
      <c r="W19" s="26"/>
      <c r="X19" s="26"/>
      <c r="Y19" s="54"/>
      <c r="Z19" s="53"/>
      <c r="AA19" s="26"/>
      <c r="AB19" s="22"/>
      <c r="AC19" s="22"/>
      <c r="AD19" s="26"/>
      <c r="AE19" s="26"/>
      <c r="AF19" s="26"/>
      <c r="AG19" s="26"/>
      <c r="AH19" s="26"/>
      <c r="AI19" s="54"/>
    </row>
    <row r="20" spans="1:35" s="14" customFormat="1" ht="16.350000000000001" customHeight="1" x14ac:dyDescent="0.25">
      <c r="A20" s="89" t="s">
        <v>31</v>
      </c>
      <c r="B20" s="11" t="s">
        <v>48</v>
      </c>
      <c r="C20" s="13" t="s">
        <v>68</v>
      </c>
      <c r="D20" s="16" t="s">
        <v>98</v>
      </c>
      <c r="E20" s="62" t="s">
        <v>212</v>
      </c>
      <c r="F20" s="66"/>
      <c r="G20" s="24"/>
      <c r="H20" s="23"/>
      <c r="I20" s="45"/>
      <c r="J20" s="26"/>
      <c r="K20" s="67"/>
      <c r="L20" s="65"/>
      <c r="M20" s="43">
        <v>800</v>
      </c>
      <c r="N20" s="48">
        <v>150</v>
      </c>
      <c r="O20" s="48"/>
      <c r="P20" s="48"/>
      <c r="Q20" s="48"/>
      <c r="R20" s="48"/>
      <c r="S20" s="48"/>
      <c r="T20" s="48"/>
      <c r="U20" s="48"/>
      <c r="V20" s="53"/>
      <c r="W20" s="26"/>
      <c r="X20" s="26"/>
      <c r="Y20" s="54"/>
      <c r="Z20" s="53"/>
      <c r="AA20" s="26"/>
      <c r="AB20" s="22"/>
      <c r="AC20" s="22"/>
      <c r="AD20" s="26"/>
      <c r="AE20" s="26"/>
      <c r="AF20" s="26"/>
      <c r="AG20" s="26"/>
      <c r="AH20" s="26"/>
      <c r="AI20" s="54"/>
    </row>
    <row r="21" spans="1:35" s="14" customFormat="1" ht="16.350000000000001" hidden="1" customHeight="1" x14ac:dyDescent="0.25">
      <c r="A21" s="89" t="s">
        <v>40</v>
      </c>
      <c r="B21" s="11" t="s">
        <v>59</v>
      </c>
      <c r="C21" s="13" t="s">
        <v>172</v>
      </c>
      <c r="D21" s="16" t="s">
        <v>110</v>
      </c>
      <c r="E21" s="62" t="s">
        <v>166</v>
      </c>
      <c r="F21" s="66" t="s">
        <v>259</v>
      </c>
      <c r="G21" s="24"/>
      <c r="H21" s="25"/>
      <c r="I21" s="45"/>
      <c r="J21" s="26"/>
      <c r="K21" s="67"/>
      <c r="L21" s="65"/>
      <c r="M21" s="43"/>
      <c r="N21" s="48"/>
      <c r="O21" s="48"/>
      <c r="P21" s="48"/>
      <c r="Q21" s="48"/>
      <c r="R21" s="48"/>
      <c r="S21" s="48"/>
      <c r="T21" s="48"/>
      <c r="U21" s="48"/>
      <c r="V21" s="53"/>
      <c r="W21" s="26"/>
      <c r="X21" s="26"/>
      <c r="Y21" s="54"/>
      <c r="Z21" s="53"/>
      <c r="AA21" s="26"/>
      <c r="AB21" s="22"/>
      <c r="AC21" s="22"/>
      <c r="AD21" s="26"/>
      <c r="AE21" s="26"/>
      <c r="AF21" s="26"/>
      <c r="AG21" s="26"/>
      <c r="AH21" s="26"/>
      <c r="AI21" s="54"/>
    </row>
    <row r="22" spans="1:35" s="14" customFormat="1" ht="16.350000000000001" customHeight="1" x14ac:dyDescent="0.25">
      <c r="A22" s="87" t="s">
        <v>225</v>
      </c>
      <c r="B22" s="11" t="s">
        <v>236</v>
      </c>
      <c r="C22" s="13" t="s">
        <v>226</v>
      </c>
      <c r="D22" s="11" t="s">
        <v>227</v>
      </c>
      <c r="E22" s="62" t="s">
        <v>212</v>
      </c>
      <c r="F22" s="66"/>
      <c r="G22" s="24"/>
      <c r="H22" s="25"/>
      <c r="I22" s="45"/>
      <c r="J22" s="26"/>
      <c r="K22" s="67"/>
      <c r="L22" s="65"/>
      <c r="M22" s="43">
        <v>100</v>
      </c>
      <c r="N22" s="48">
        <v>100</v>
      </c>
      <c r="O22" s="48"/>
      <c r="P22" s="48"/>
      <c r="Q22" s="48"/>
      <c r="R22" s="48"/>
      <c r="S22" s="48"/>
      <c r="T22" s="48"/>
      <c r="U22" s="48"/>
      <c r="V22" s="53"/>
      <c r="W22" s="26"/>
      <c r="X22" s="26"/>
      <c r="Y22" s="54"/>
      <c r="Z22" s="53"/>
      <c r="AA22" s="26"/>
      <c r="AB22" s="22"/>
      <c r="AC22" s="22"/>
      <c r="AD22" s="26"/>
      <c r="AE22" s="26"/>
      <c r="AF22" s="26"/>
      <c r="AG22" s="26"/>
      <c r="AH22" s="26"/>
      <c r="AI22" s="54"/>
    </row>
    <row r="23" spans="1:35" s="14" customFormat="1" ht="16.350000000000001" hidden="1" customHeight="1" x14ac:dyDescent="0.25">
      <c r="A23" s="87" t="s">
        <v>130</v>
      </c>
      <c r="B23" s="11" t="s">
        <v>132</v>
      </c>
      <c r="C23" s="13" t="s">
        <v>133</v>
      </c>
      <c r="D23" s="11" t="s">
        <v>131</v>
      </c>
      <c r="E23" s="62" t="s">
        <v>166</v>
      </c>
      <c r="F23" s="66" t="s">
        <v>259</v>
      </c>
      <c r="G23" s="24"/>
      <c r="H23" s="23"/>
      <c r="I23" s="45"/>
      <c r="J23" s="26"/>
      <c r="K23" s="67"/>
      <c r="L23" s="65"/>
      <c r="M23" s="43"/>
      <c r="N23" s="48"/>
      <c r="O23" s="48"/>
      <c r="P23" s="48"/>
      <c r="Q23" s="48"/>
      <c r="R23" s="48"/>
      <c r="S23" s="48"/>
      <c r="T23" s="48"/>
      <c r="U23" s="48"/>
      <c r="V23" s="53"/>
      <c r="W23" s="26"/>
      <c r="X23" s="26"/>
      <c r="Y23" s="54"/>
      <c r="Z23" s="53"/>
      <c r="AA23" s="26"/>
      <c r="AB23" s="22"/>
      <c r="AC23" s="22"/>
      <c r="AD23" s="26"/>
      <c r="AE23" s="26"/>
      <c r="AF23" s="26"/>
      <c r="AG23" s="26"/>
      <c r="AH23" s="26"/>
      <c r="AI23" s="54"/>
    </row>
    <row r="24" spans="1:35" s="14" customFormat="1" ht="16.350000000000001" customHeight="1" x14ac:dyDescent="0.25">
      <c r="A24" s="87" t="s">
        <v>295</v>
      </c>
      <c r="B24" s="11" t="s">
        <v>277</v>
      </c>
      <c r="C24" s="13" t="s">
        <v>278</v>
      </c>
      <c r="D24" s="11" t="s">
        <v>279</v>
      </c>
      <c r="E24" s="62" t="s">
        <v>212</v>
      </c>
      <c r="F24" s="66"/>
      <c r="G24" s="24"/>
      <c r="H24" s="25"/>
      <c r="I24" s="45"/>
      <c r="J24" s="26"/>
      <c r="K24" s="67"/>
      <c r="L24" s="65"/>
      <c r="M24" s="43">
        <v>250</v>
      </c>
      <c r="N24" s="48"/>
      <c r="O24" s="48"/>
      <c r="P24" s="48"/>
      <c r="Q24" s="48"/>
      <c r="R24" s="48"/>
      <c r="S24" s="48"/>
      <c r="T24" s="48"/>
      <c r="U24" s="48"/>
      <c r="V24" s="53"/>
      <c r="W24" s="26"/>
      <c r="X24" s="26"/>
      <c r="Y24" s="54"/>
      <c r="Z24" s="53"/>
      <c r="AA24" s="26"/>
      <c r="AB24" s="22"/>
      <c r="AC24" s="22"/>
      <c r="AD24" s="26"/>
      <c r="AE24" s="26"/>
      <c r="AF24" s="26"/>
      <c r="AG24" s="26"/>
      <c r="AH24" s="26"/>
      <c r="AI24" s="54"/>
    </row>
    <row r="25" spans="1:35" s="14" customFormat="1" ht="16.350000000000001" customHeight="1" x14ac:dyDescent="0.25">
      <c r="A25" s="87" t="s">
        <v>205</v>
      </c>
      <c r="B25" s="11" t="s">
        <v>206</v>
      </c>
      <c r="C25" s="13" t="s">
        <v>207</v>
      </c>
      <c r="D25" s="11" t="s">
        <v>208</v>
      </c>
      <c r="E25" s="62" t="s">
        <v>212</v>
      </c>
      <c r="F25" s="66"/>
      <c r="G25" s="24"/>
      <c r="H25" s="25"/>
      <c r="I25" s="45"/>
      <c r="J25" s="26"/>
      <c r="K25" s="67"/>
      <c r="L25" s="65">
        <v>0</v>
      </c>
      <c r="M25" s="43">
        <v>0</v>
      </c>
      <c r="N25" s="48">
        <v>0</v>
      </c>
      <c r="O25" s="48"/>
      <c r="P25" s="48"/>
      <c r="Q25" s="48"/>
      <c r="R25" s="48"/>
      <c r="S25" s="48"/>
      <c r="T25" s="48"/>
      <c r="U25" s="48"/>
      <c r="V25" s="53"/>
      <c r="W25" s="26"/>
      <c r="X25" s="26"/>
      <c r="Y25" s="54"/>
      <c r="Z25" s="53"/>
      <c r="AA25" s="26"/>
      <c r="AB25" s="22"/>
      <c r="AC25" s="22"/>
      <c r="AD25" s="26"/>
      <c r="AE25" s="26"/>
      <c r="AF25" s="26"/>
      <c r="AG25" s="26"/>
      <c r="AH25" s="26"/>
      <c r="AI25" s="54"/>
    </row>
    <row r="26" spans="1:35" s="14" customFormat="1" ht="16.350000000000001" hidden="1" customHeight="1" x14ac:dyDescent="0.25">
      <c r="A26" s="87" t="s">
        <v>222</v>
      </c>
      <c r="B26" s="11" t="s">
        <v>126</v>
      </c>
      <c r="C26" s="13" t="s">
        <v>202</v>
      </c>
      <c r="D26" s="11" t="s">
        <v>127</v>
      </c>
      <c r="E26" s="62" t="s">
        <v>4</v>
      </c>
      <c r="F26" s="66" t="s">
        <v>259</v>
      </c>
      <c r="G26" s="24"/>
      <c r="H26" s="25"/>
      <c r="I26" s="45"/>
      <c r="J26" s="26"/>
      <c r="K26" s="67"/>
      <c r="L26" s="65"/>
      <c r="M26" s="43"/>
      <c r="N26" s="48"/>
      <c r="O26" s="48"/>
      <c r="P26" s="48"/>
      <c r="Q26" s="48"/>
      <c r="R26" s="48"/>
      <c r="S26" s="48"/>
      <c r="T26" s="48"/>
      <c r="U26" s="48"/>
      <c r="V26" s="53"/>
      <c r="W26" s="26"/>
      <c r="X26" s="26"/>
      <c r="Y26" s="54"/>
      <c r="Z26" s="53"/>
      <c r="AA26" s="26"/>
      <c r="AB26" s="22"/>
      <c r="AC26" s="22"/>
      <c r="AD26" s="26"/>
      <c r="AE26" s="26"/>
      <c r="AF26" s="26"/>
      <c r="AG26" s="26"/>
      <c r="AH26" s="26"/>
      <c r="AI26" s="54"/>
    </row>
    <row r="27" spans="1:35" s="14" customFormat="1" ht="16.350000000000001" customHeight="1" x14ac:dyDescent="0.25">
      <c r="A27" s="87" t="s">
        <v>215</v>
      </c>
      <c r="B27" s="11" t="s">
        <v>216</v>
      </c>
      <c r="C27" s="13" t="s">
        <v>217</v>
      </c>
      <c r="D27" s="11" t="s">
        <v>218</v>
      </c>
      <c r="E27" s="62" t="s">
        <v>212</v>
      </c>
      <c r="F27" s="66"/>
      <c r="G27" s="24"/>
      <c r="H27" s="25"/>
      <c r="I27" s="45"/>
      <c r="J27" s="26"/>
      <c r="K27" s="67"/>
      <c r="L27" s="65"/>
      <c r="M27" s="43">
        <v>300</v>
      </c>
      <c r="N27" s="48">
        <v>200</v>
      </c>
      <c r="O27" s="48"/>
      <c r="P27" s="48"/>
      <c r="Q27" s="48"/>
      <c r="R27" s="48"/>
      <c r="S27" s="48"/>
      <c r="T27" s="48"/>
      <c r="U27" s="48"/>
      <c r="V27" s="53"/>
      <c r="W27" s="26"/>
      <c r="X27" s="26"/>
      <c r="Y27" s="54"/>
      <c r="Z27" s="53"/>
      <c r="AA27" s="26"/>
      <c r="AB27" s="22"/>
      <c r="AC27" s="22"/>
      <c r="AD27" s="26"/>
      <c r="AE27" s="26"/>
      <c r="AF27" s="26"/>
      <c r="AG27" s="26"/>
      <c r="AH27" s="26"/>
      <c r="AI27" s="54"/>
    </row>
    <row r="28" spans="1:35" s="14" customFormat="1" ht="16.350000000000001" customHeight="1" x14ac:dyDescent="0.25">
      <c r="A28" s="89" t="s">
        <v>37</v>
      </c>
      <c r="B28" s="11" t="s">
        <v>211</v>
      </c>
      <c r="C28" s="13" t="s">
        <v>74</v>
      </c>
      <c r="D28" s="16" t="s">
        <v>106</v>
      </c>
      <c r="E28" s="62" t="s">
        <v>119</v>
      </c>
      <c r="F28" s="66"/>
      <c r="G28" s="24"/>
      <c r="H28" s="23"/>
      <c r="I28" s="45"/>
      <c r="J28" s="26"/>
      <c r="K28" s="67"/>
      <c r="L28" s="48">
        <v>650</v>
      </c>
      <c r="M28" s="48">
        <v>650</v>
      </c>
      <c r="N28" s="48">
        <v>150</v>
      </c>
      <c r="O28" s="48"/>
      <c r="P28" s="48"/>
      <c r="Q28" s="48"/>
      <c r="R28" s="48"/>
      <c r="S28" s="48"/>
      <c r="T28" s="48"/>
      <c r="U28" s="48"/>
      <c r="V28" s="53"/>
      <c r="W28" s="26" t="s">
        <v>259</v>
      </c>
      <c r="X28" s="26"/>
      <c r="Y28" s="54"/>
      <c r="Z28" s="53"/>
      <c r="AA28" s="26"/>
      <c r="AB28" s="22"/>
      <c r="AC28" s="22"/>
      <c r="AD28" s="26"/>
      <c r="AE28" s="26"/>
      <c r="AF28" s="26"/>
      <c r="AG28" s="26"/>
      <c r="AH28" s="26"/>
      <c r="AI28" s="54"/>
    </row>
    <row r="29" spans="1:35" s="14" customFormat="1" ht="16.350000000000001" customHeight="1" x14ac:dyDescent="0.25">
      <c r="A29" s="87" t="s">
        <v>263</v>
      </c>
      <c r="B29" s="11" t="s">
        <v>264</v>
      </c>
      <c r="C29" s="13" t="s">
        <v>265</v>
      </c>
      <c r="D29" s="18" t="s">
        <v>266</v>
      </c>
      <c r="E29" s="62" t="s">
        <v>120</v>
      </c>
      <c r="F29" s="66"/>
      <c r="G29" s="24"/>
      <c r="H29" s="25"/>
      <c r="I29" s="45"/>
      <c r="J29" s="26"/>
      <c r="K29" s="67"/>
      <c r="L29" s="65"/>
      <c r="M29" s="43"/>
      <c r="N29" s="48"/>
      <c r="O29" s="48"/>
      <c r="P29" s="48"/>
      <c r="Q29" s="48"/>
      <c r="R29" s="48"/>
      <c r="S29" s="48"/>
      <c r="T29" s="48"/>
      <c r="U29" s="48"/>
      <c r="V29" s="53"/>
      <c r="W29" s="26"/>
      <c r="X29" s="26"/>
      <c r="Y29" s="54"/>
      <c r="Z29" s="53"/>
      <c r="AA29" s="26"/>
      <c r="AB29" s="22"/>
      <c r="AC29" s="22"/>
      <c r="AD29" s="26"/>
      <c r="AE29" s="26"/>
      <c r="AF29" s="26"/>
      <c r="AG29" s="26"/>
      <c r="AH29" s="26"/>
      <c r="AI29" s="54"/>
    </row>
    <row r="30" spans="1:35" s="14" customFormat="1" ht="16.350000000000001" customHeight="1" x14ac:dyDescent="0.25">
      <c r="A30" s="91" t="s">
        <v>33</v>
      </c>
      <c r="B30" s="11" t="s">
        <v>50</v>
      </c>
      <c r="C30" s="13" t="s">
        <v>70</v>
      </c>
      <c r="D30" s="16" t="s">
        <v>100</v>
      </c>
      <c r="E30" s="62" t="s">
        <v>120</v>
      </c>
      <c r="F30" s="66"/>
      <c r="G30" s="24"/>
      <c r="H30" s="28"/>
      <c r="I30" s="45"/>
      <c r="J30" s="26"/>
      <c r="K30" s="67"/>
      <c r="L30" s="65"/>
      <c r="M30" s="43"/>
      <c r="N30" s="48"/>
      <c r="O30" s="48"/>
      <c r="P30" s="48"/>
      <c r="Q30" s="48"/>
      <c r="R30" s="48"/>
      <c r="S30" s="48"/>
      <c r="T30" s="48"/>
      <c r="U30" s="48"/>
      <c r="V30" s="53"/>
      <c r="W30" s="26"/>
      <c r="X30" s="26"/>
      <c r="Y30" s="54"/>
      <c r="Z30" s="53"/>
      <c r="AA30" s="26"/>
      <c r="AB30" s="22"/>
      <c r="AC30" s="22"/>
      <c r="AD30" s="26"/>
      <c r="AE30" s="26"/>
      <c r="AF30" s="26"/>
      <c r="AG30" s="26"/>
      <c r="AH30" s="26"/>
      <c r="AI30" s="54"/>
    </row>
    <row r="31" spans="1:35" s="14" customFormat="1" ht="16.350000000000001" customHeight="1" x14ac:dyDescent="0.25">
      <c r="A31" s="91" t="s">
        <v>157</v>
      </c>
      <c r="B31" s="11" t="s">
        <v>52</v>
      </c>
      <c r="C31" s="13" t="s">
        <v>71</v>
      </c>
      <c r="D31" s="16" t="s">
        <v>102</v>
      </c>
      <c r="E31" s="62" t="s">
        <v>120</v>
      </c>
      <c r="F31" s="66"/>
      <c r="G31" s="24"/>
      <c r="H31" s="25"/>
      <c r="I31" s="45"/>
      <c r="J31" s="26"/>
      <c r="K31" s="67"/>
      <c r="L31" s="65"/>
      <c r="M31" s="43"/>
      <c r="N31" s="48"/>
      <c r="O31" s="48"/>
      <c r="P31" s="48"/>
      <c r="Q31" s="48"/>
      <c r="R31" s="48"/>
      <c r="S31" s="48"/>
      <c r="T31" s="48"/>
      <c r="U31" s="48"/>
      <c r="V31" s="53"/>
      <c r="W31" s="26"/>
      <c r="X31" s="26"/>
      <c r="Y31" s="54"/>
      <c r="Z31" s="53"/>
      <c r="AA31" s="26"/>
      <c r="AB31" s="22"/>
      <c r="AC31" s="22"/>
      <c r="AD31" s="26"/>
      <c r="AE31" s="26"/>
      <c r="AF31" s="26"/>
      <c r="AG31" s="26"/>
      <c r="AH31" s="26"/>
      <c r="AI31" s="54"/>
    </row>
    <row r="32" spans="1:35" s="14" customFormat="1" ht="16.350000000000001" customHeight="1" x14ac:dyDescent="0.25">
      <c r="A32" s="87" t="s">
        <v>246</v>
      </c>
      <c r="B32" s="11" t="s">
        <v>248</v>
      </c>
      <c r="C32" s="13" t="s">
        <v>247</v>
      </c>
      <c r="D32" s="18" t="s">
        <v>249</v>
      </c>
      <c r="E32" s="62" t="s">
        <v>120</v>
      </c>
      <c r="F32" s="66"/>
      <c r="G32" s="24"/>
      <c r="H32" s="25"/>
      <c r="I32" s="45"/>
      <c r="J32" s="26"/>
      <c r="K32" s="67"/>
      <c r="L32" s="65"/>
      <c r="M32" s="48"/>
      <c r="N32" s="48"/>
      <c r="O32" s="48"/>
      <c r="P32" s="48"/>
      <c r="Q32" s="48"/>
      <c r="R32" s="48"/>
      <c r="S32" s="48"/>
      <c r="T32" s="48"/>
      <c r="U32" s="48"/>
      <c r="V32" s="53"/>
      <c r="W32" s="26"/>
      <c r="X32" s="26"/>
      <c r="Y32" s="54"/>
      <c r="Z32" s="53"/>
      <c r="AA32" s="26"/>
      <c r="AB32" s="22"/>
      <c r="AC32" s="22"/>
      <c r="AD32" s="26"/>
      <c r="AE32" s="26"/>
      <c r="AF32" s="26"/>
      <c r="AG32" s="26"/>
      <c r="AH32" s="26"/>
      <c r="AI32" s="54"/>
    </row>
    <row r="33" spans="1:35" s="14" customFormat="1" ht="16.350000000000001" customHeight="1" x14ac:dyDescent="0.25">
      <c r="A33" s="89" t="s">
        <v>23</v>
      </c>
      <c r="B33" s="11" t="s">
        <v>195</v>
      </c>
      <c r="C33" s="13" t="s">
        <v>75</v>
      </c>
      <c r="D33" s="16" t="s">
        <v>107</v>
      </c>
      <c r="E33" s="62" t="s">
        <v>120</v>
      </c>
      <c r="F33" s="66"/>
      <c r="G33" s="24"/>
      <c r="H33" s="23"/>
      <c r="I33" s="45"/>
      <c r="J33" s="26"/>
      <c r="K33" s="67"/>
      <c r="L33" s="65">
        <v>0</v>
      </c>
      <c r="M33" s="43">
        <v>0</v>
      </c>
      <c r="N33" s="48">
        <v>0</v>
      </c>
      <c r="O33" s="48">
        <v>500</v>
      </c>
      <c r="P33" s="48"/>
      <c r="Q33" s="48"/>
      <c r="R33" s="48"/>
      <c r="S33" s="48"/>
      <c r="T33" s="48"/>
      <c r="U33" s="48"/>
      <c r="V33" s="53"/>
      <c r="W33" s="26" t="s">
        <v>259</v>
      </c>
      <c r="X33" s="26"/>
      <c r="Y33" s="54"/>
      <c r="Z33" s="53"/>
      <c r="AA33" s="26"/>
      <c r="AB33" s="22"/>
      <c r="AC33" s="22"/>
      <c r="AD33" s="26"/>
      <c r="AE33" s="26"/>
      <c r="AF33" s="26"/>
      <c r="AG33" s="26"/>
      <c r="AH33" s="26"/>
      <c r="AI33" s="54"/>
    </row>
    <row r="34" spans="1:35" s="14" customFormat="1" ht="16.350000000000001" customHeight="1" x14ac:dyDescent="0.25">
      <c r="A34" s="87" t="s">
        <v>185</v>
      </c>
      <c r="B34" s="11" t="s">
        <v>192</v>
      </c>
      <c r="C34" s="16" t="s">
        <v>196</v>
      </c>
      <c r="D34" s="11" t="s">
        <v>193</v>
      </c>
      <c r="E34" s="62" t="s">
        <v>10</v>
      </c>
      <c r="F34" s="66"/>
      <c r="G34" s="24"/>
      <c r="H34" s="25"/>
      <c r="I34" s="45"/>
      <c r="J34" s="26"/>
      <c r="K34" s="67"/>
      <c r="L34" s="65"/>
      <c r="M34" s="43"/>
      <c r="N34" s="48"/>
      <c r="O34" s="48"/>
      <c r="P34" s="48"/>
      <c r="Q34" s="48"/>
      <c r="R34" s="48"/>
      <c r="S34" s="48"/>
      <c r="T34" s="48"/>
      <c r="U34" s="48"/>
      <c r="V34" s="53"/>
      <c r="W34" s="26"/>
      <c r="X34" s="26"/>
      <c r="Y34" s="54"/>
      <c r="Z34" s="53"/>
      <c r="AA34" s="26"/>
      <c r="AB34" s="22"/>
      <c r="AC34" s="22"/>
      <c r="AD34" s="26"/>
      <c r="AE34" s="26"/>
      <c r="AF34" s="26"/>
      <c r="AG34" s="26"/>
      <c r="AH34" s="26"/>
      <c r="AI34" s="54"/>
    </row>
    <row r="35" spans="1:35" s="14" customFormat="1" ht="16.350000000000001" customHeight="1" x14ac:dyDescent="0.25">
      <c r="A35" s="87" t="s">
        <v>183</v>
      </c>
      <c r="B35" s="11" t="s">
        <v>186</v>
      </c>
      <c r="C35" s="13" t="s">
        <v>187</v>
      </c>
      <c r="D35" s="11" t="s">
        <v>188</v>
      </c>
      <c r="E35" s="62" t="s">
        <v>10</v>
      </c>
      <c r="F35" s="66"/>
      <c r="G35" s="24"/>
      <c r="H35" s="25"/>
      <c r="I35" s="45"/>
      <c r="J35" s="26"/>
      <c r="K35" s="67"/>
      <c r="L35" s="65"/>
      <c r="M35" s="43"/>
      <c r="N35" s="48"/>
      <c r="O35" s="48"/>
      <c r="P35" s="48"/>
      <c r="Q35" s="48"/>
      <c r="R35" s="48"/>
      <c r="S35" s="48"/>
      <c r="T35" s="48"/>
      <c r="U35" s="48"/>
      <c r="V35" s="53"/>
      <c r="W35" s="26"/>
      <c r="X35" s="26"/>
      <c r="Y35" s="54"/>
      <c r="Z35" s="53"/>
      <c r="AA35" s="26"/>
      <c r="AB35" s="22"/>
      <c r="AC35" s="22"/>
      <c r="AD35" s="26"/>
      <c r="AE35" s="26"/>
      <c r="AF35" s="26"/>
      <c r="AG35" s="26"/>
      <c r="AH35" s="26"/>
      <c r="AI35" s="54"/>
    </row>
    <row r="36" spans="1:35" s="14" customFormat="1" ht="16.350000000000001" customHeight="1" x14ac:dyDescent="0.25">
      <c r="A36" s="90" t="s">
        <v>260</v>
      </c>
      <c r="B36" s="11" t="s">
        <v>261</v>
      </c>
      <c r="C36" s="13" t="s">
        <v>262</v>
      </c>
      <c r="D36" s="11" t="s">
        <v>89</v>
      </c>
      <c r="E36" s="62" t="s">
        <v>168</v>
      </c>
      <c r="F36" s="66"/>
      <c r="G36" s="24"/>
      <c r="H36" s="25"/>
      <c r="I36" s="45"/>
      <c r="J36" s="26"/>
      <c r="K36" s="67"/>
      <c r="L36" s="43"/>
      <c r="M36" s="43"/>
      <c r="N36" s="48"/>
      <c r="O36" s="48"/>
      <c r="P36" s="48"/>
      <c r="Q36" s="48"/>
      <c r="R36" s="48"/>
      <c r="S36" s="48"/>
      <c r="T36" s="48"/>
      <c r="U36" s="48"/>
      <c r="V36" s="53"/>
      <c r="W36" s="26"/>
      <c r="X36" s="26"/>
      <c r="Y36" s="54"/>
      <c r="Z36" s="53"/>
      <c r="AA36" s="26"/>
      <c r="AB36" s="22"/>
      <c r="AC36" s="22"/>
      <c r="AD36" s="26"/>
      <c r="AE36" s="26"/>
      <c r="AF36" s="26"/>
      <c r="AG36" s="26"/>
      <c r="AH36" s="26"/>
      <c r="AI36" s="54"/>
    </row>
    <row r="37" spans="1:35" s="14" customFormat="1" ht="16.350000000000001" customHeight="1" x14ac:dyDescent="0.25">
      <c r="A37" s="88" t="s">
        <v>176</v>
      </c>
      <c r="B37" s="11" t="s">
        <v>179</v>
      </c>
      <c r="C37" s="13" t="s">
        <v>178</v>
      </c>
      <c r="D37" s="11" t="s">
        <v>177</v>
      </c>
      <c r="E37" s="62" t="s">
        <v>168</v>
      </c>
      <c r="F37" s="66"/>
      <c r="G37" s="24"/>
      <c r="H37" s="25"/>
      <c r="I37" s="45"/>
      <c r="J37" s="26"/>
      <c r="K37" s="67"/>
      <c r="L37" s="65"/>
      <c r="M37" s="43"/>
      <c r="N37" s="48"/>
      <c r="O37" s="48"/>
      <c r="P37" s="48"/>
      <c r="Q37" s="48"/>
      <c r="R37" s="48"/>
      <c r="S37" s="48"/>
      <c r="T37" s="48"/>
      <c r="U37" s="48"/>
      <c r="V37" s="53"/>
      <c r="W37" s="26"/>
      <c r="X37" s="26"/>
      <c r="Y37" s="54"/>
      <c r="Z37" s="53"/>
      <c r="AA37" s="26"/>
      <c r="AB37" s="22"/>
      <c r="AC37" s="22"/>
      <c r="AD37" s="26"/>
      <c r="AE37" s="26"/>
      <c r="AF37" s="26"/>
      <c r="AG37" s="26"/>
      <c r="AH37" s="26"/>
      <c r="AI37" s="54"/>
    </row>
    <row r="38" spans="1:35" s="14" customFormat="1" ht="16.350000000000001" customHeight="1" x14ac:dyDescent="0.25">
      <c r="A38" s="88" t="s">
        <v>174</v>
      </c>
      <c r="B38" s="11" t="s">
        <v>168</v>
      </c>
      <c r="C38" s="13" t="s">
        <v>229</v>
      </c>
      <c r="D38" s="18" t="s">
        <v>175</v>
      </c>
      <c r="E38" s="62" t="s">
        <v>168</v>
      </c>
      <c r="F38" s="66"/>
      <c r="G38" s="24"/>
      <c r="H38" s="25"/>
      <c r="I38" s="45"/>
      <c r="J38" s="26"/>
      <c r="K38" s="67"/>
      <c r="L38" s="65"/>
      <c r="M38" s="43">
        <v>200</v>
      </c>
      <c r="N38" s="48">
        <v>150</v>
      </c>
      <c r="O38" s="48"/>
      <c r="P38" s="48"/>
      <c r="Q38" s="48"/>
      <c r="R38" s="48"/>
      <c r="S38" s="48"/>
      <c r="T38" s="48"/>
      <c r="U38" s="48"/>
      <c r="V38" s="53"/>
      <c r="W38" s="26"/>
      <c r="X38" s="26"/>
      <c r="Y38" s="54"/>
      <c r="Z38" s="53"/>
      <c r="AA38" s="26"/>
      <c r="AB38" s="22"/>
      <c r="AC38" s="22"/>
      <c r="AD38" s="26"/>
      <c r="AE38" s="26"/>
      <c r="AF38" s="26"/>
      <c r="AG38" s="26"/>
      <c r="AH38" s="26"/>
      <c r="AI38" s="54"/>
    </row>
    <row r="39" spans="1:35" s="14" customFormat="1" ht="16.350000000000001" hidden="1" customHeight="1" x14ac:dyDescent="0.25">
      <c r="A39" s="89" t="s">
        <v>34</v>
      </c>
      <c r="B39" s="11" t="s">
        <v>51</v>
      </c>
      <c r="C39" s="13" t="s">
        <v>61</v>
      </c>
      <c r="D39" s="16" t="s">
        <v>101</v>
      </c>
      <c r="E39" s="62" t="s">
        <v>167</v>
      </c>
      <c r="F39" s="66" t="s">
        <v>259</v>
      </c>
      <c r="G39" s="24"/>
      <c r="H39" s="25"/>
      <c r="I39" s="45"/>
      <c r="J39" s="26"/>
      <c r="K39" s="67"/>
      <c r="L39" s="65"/>
      <c r="M39" s="43"/>
      <c r="N39" s="48"/>
      <c r="O39" s="48"/>
      <c r="P39" s="48"/>
      <c r="Q39" s="48"/>
      <c r="R39" s="48"/>
      <c r="S39" s="48"/>
      <c r="T39" s="48"/>
      <c r="U39" s="48"/>
      <c r="V39" s="53"/>
      <c r="W39" s="26"/>
      <c r="X39" s="26"/>
      <c r="Y39" s="54"/>
      <c r="Z39" s="53"/>
      <c r="AA39" s="26"/>
      <c r="AB39" s="22"/>
      <c r="AC39" s="22"/>
      <c r="AD39" s="26"/>
      <c r="AE39" s="26"/>
      <c r="AF39" s="26"/>
      <c r="AG39" s="26"/>
      <c r="AH39" s="26"/>
      <c r="AI39" s="54"/>
    </row>
    <row r="40" spans="1:35" s="14" customFormat="1" ht="16.350000000000001" customHeight="1" x14ac:dyDescent="0.25">
      <c r="A40" s="89" t="s">
        <v>224</v>
      </c>
      <c r="B40" s="11" t="s">
        <v>60</v>
      </c>
      <c r="C40" s="11" t="s">
        <v>76</v>
      </c>
      <c r="D40" s="11" t="s">
        <v>111</v>
      </c>
      <c r="E40" s="62" t="s">
        <v>168</v>
      </c>
      <c r="F40" s="66"/>
      <c r="G40" s="24"/>
      <c r="H40" s="23"/>
      <c r="I40" s="45"/>
      <c r="J40" s="26"/>
      <c r="K40" s="67"/>
      <c r="L40" s="65"/>
      <c r="M40" s="43"/>
      <c r="N40" s="48">
        <v>50</v>
      </c>
      <c r="O40" s="48"/>
      <c r="P40" s="48"/>
      <c r="Q40" s="48"/>
      <c r="R40" s="48"/>
      <c r="S40" s="48"/>
      <c r="T40" s="48"/>
      <c r="U40" s="48"/>
      <c r="V40" s="53"/>
      <c r="W40" s="26"/>
      <c r="X40" s="26"/>
      <c r="Y40" s="54"/>
      <c r="Z40" s="53"/>
      <c r="AA40" s="26"/>
      <c r="AB40" s="22"/>
      <c r="AC40" s="22"/>
      <c r="AD40" s="26"/>
      <c r="AE40" s="26"/>
      <c r="AF40" s="26"/>
      <c r="AG40" s="26"/>
      <c r="AH40" s="26"/>
      <c r="AI40" s="54"/>
    </row>
    <row r="41" spans="1:35" s="14" customFormat="1" ht="16.350000000000001" customHeight="1" x14ac:dyDescent="0.25">
      <c r="A41" s="87" t="s">
        <v>138</v>
      </c>
      <c r="B41" s="11" t="s">
        <v>140</v>
      </c>
      <c r="C41" s="13" t="s">
        <v>76</v>
      </c>
      <c r="D41" s="11" t="s">
        <v>139</v>
      </c>
      <c r="E41" s="62" t="s">
        <v>168</v>
      </c>
      <c r="F41" s="66"/>
      <c r="G41" s="24"/>
      <c r="H41" s="23"/>
      <c r="I41" s="45"/>
      <c r="J41" s="26"/>
      <c r="K41" s="67"/>
      <c r="L41" s="65"/>
      <c r="M41" s="43"/>
      <c r="N41" s="48"/>
      <c r="O41" s="48"/>
      <c r="P41" s="48"/>
      <c r="Q41" s="48"/>
      <c r="R41" s="48"/>
      <c r="S41" s="48"/>
      <c r="T41" s="48"/>
      <c r="U41" s="48"/>
      <c r="V41" s="53"/>
      <c r="W41" s="26"/>
      <c r="X41" s="26"/>
      <c r="Y41" s="54"/>
      <c r="Z41" s="53"/>
      <c r="AA41" s="26"/>
      <c r="AB41" s="22"/>
      <c r="AC41" s="22"/>
      <c r="AD41" s="26"/>
      <c r="AE41" s="26"/>
      <c r="AF41" s="26"/>
      <c r="AG41" s="26"/>
      <c r="AH41" s="26"/>
      <c r="AI41" s="54"/>
    </row>
    <row r="42" spans="1:35" s="14" customFormat="1" ht="16.350000000000001" customHeight="1" x14ac:dyDescent="0.25">
      <c r="A42" s="87" t="s">
        <v>241</v>
      </c>
      <c r="B42" s="11" t="s">
        <v>242</v>
      </c>
      <c r="C42" s="13" t="s">
        <v>243</v>
      </c>
      <c r="D42" s="11" t="s">
        <v>244</v>
      </c>
      <c r="E42" s="62" t="s">
        <v>245</v>
      </c>
      <c r="F42" s="66"/>
      <c r="G42" s="24"/>
      <c r="H42" s="25"/>
      <c r="I42" s="45"/>
      <c r="J42" s="26"/>
      <c r="K42" s="68"/>
      <c r="L42" s="65"/>
      <c r="M42" s="43"/>
      <c r="N42" s="48">
        <v>100</v>
      </c>
      <c r="O42" s="48"/>
      <c r="P42" s="48"/>
      <c r="Q42" s="48"/>
      <c r="R42" s="48"/>
      <c r="S42" s="48"/>
      <c r="T42" s="48"/>
      <c r="U42" s="48"/>
      <c r="V42" s="53"/>
      <c r="W42" s="26"/>
      <c r="X42" s="26"/>
      <c r="Y42" s="54"/>
      <c r="Z42" s="53"/>
      <c r="AA42" s="26"/>
      <c r="AB42" s="22"/>
      <c r="AC42" s="22"/>
      <c r="AD42" s="26"/>
      <c r="AE42" s="26"/>
      <c r="AF42" s="26"/>
      <c r="AG42" s="26"/>
      <c r="AH42" s="26"/>
      <c r="AI42" s="54"/>
    </row>
    <row r="43" spans="1:35" s="14" customFormat="1" ht="16.350000000000001" customHeight="1" x14ac:dyDescent="0.25">
      <c r="A43" s="89" t="s">
        <v>77</v>
      </c>
      <c r="B43" s="11" t="s">
        <v>85</v>
      </c>
      <c r="C43" s="13" t="s">
        <v>86</v>
      </c>
      <c r="D43" s="11" t="s">
        <v>79</v>
      </c>
      <c r="E43" s="62" t="s">
        <v>234</v>
      </c>
      <c r="F43" s="66"/>
      <c r="G43" s="24"/>
      <c r="H43" s="25"/>
      <c r="I43" s="45"/>
      <c r="J43" s="26"/>
      <c r="K43" s="67"/>
      <c r="L43" s="65"/>
      <c r="M43" s="43">
        <v>200</v>
      </c>
      <c r="N43" s="48">
        <v>0</v>
      </c>
      <c r="O43" s="48"/>
      <c r="P43" s="48"/>
      <c r="Q43" s="48"/>
      <c r="R43" s="48"/>
      <c r="S43" s="48"/>
      <c r="T43" s="48"/>
      <c r="U43" s="48"/>
      <c r="V43" s="53"/>
      <c r="W43" s="26" t="s">
        <v>259</v>
      </c>
      <c r="X43" s="26"/>
      <c r="Y43" s="54"/>
      <c r="Z43" s="53"/>
      <c r="AA43" s="26"/>
      <c r="AB43" s="22"/>
      <c r="AC43" s="22"/>
      <c r="AD43" s="26"/>
      <c r="AE43" s="26"/>
      <c r="AF43" s="26"/>
      <c r="AG43" s="26"/>
      <c r="AH43" s="26"/>
      <c r="AI43" s="54"/>
    </row>
    <row r="44" spans="1:35" s="14" customFormat="1" ht="16.350000000000001" customHeight="1" x14ac:dyDescent="0.25">
      <c r="A44" s="87" t="s">
        <v>134</v>
      </c>
      <c r="B44" s="11" t="s">
        <v>137</v>
      </c>
      <c r="C44" s="13" t="s">
        <v>135</v>
      </c>
      <c r="D44" s="11" t="s">
        <v>136</v>
      </c>
      <c r="E44" s="62" t="s">
        <v>166</v>
      </c>
      <c r="F44" s="66"/>
      <c r="G44" s="24"/>
      <c r="H44" s="23"/>
      <c r="I44" s="45"/>
      <c r="J44" s="26"/>
      <c r="K44" s="67"/>
      <c r="L44" s="65"/>
      <c r="M44" s="43"/>
      <c r="N44" s="48"/>
      <c r="O44" s="48"/>
      <c r="P44" s="48"/>
      <c r="Q44" s="48"/>
      <c r="R44" s="48"/>
      <c r="S44" s="48"/>
      <c r="T44" s="48"/>
      <c r="U44" s="48"/>
      <c r="V44" s="53"/>
      <c r="W44" s="26"/>
      <c r="X44" s="26"/>
      <c r="Y44" s="55"/>
      <c r="Z44" s="53"/>
      <c r="AA44" s="26"/>
      <c r="AB44" s="22"/>
      <c r="AC44" s="22"/>
      <c r="AD44" s="26"/>
      <c r="AE44" s="26"/>
      <c r="AF44" s="26"/>
      <c r="AG44" s="26"/>
      <c r="AH44" s="26"/>
      <c r="AI44" s="54"/>
    </row>
    <row r="45" spans="1:35" s="14" customFormat="1" ht="16.350000000000001" customHeight="1" x14ac:dyDescent="0.25">
      <c r="A45" s="89" t="s">
        <v>42</v>
      </c>
      <c r="B45" s="11" t="s">
        <v>296</v>
      </c>
      <c r="C45" s="13" t="s">
        <v>80</v>
      </c>
      <c r="D45" s="18" t="s">
        <v>297</v>
      </c>
      <c r="E45" s="62" t="s">
        <v>166</v>
      </c>
      <c r="F45" s="66"/>
      <c r="G45" s="24"/>
      <c r="H45" s="25"/>
      <c r="I45" s="45"/>
      <c r="J45" s="26"/>
      <c r="K45" s="67"/>
      <c r="L45" s="65"/>
      <c r="M45" s="43">
        <v>0</v>
      </c>
      <c r="N45" s="48"/>
      <c r="O45" s="48"/>
      <c r="P45" s="48"/>
      <c r="Q45" s="48"/>
      <c r="R45" s="48"/>
      <c r="S45" s="48"/>
      <c r="T45" s="48"/>
      <c r="U45" s="48"/>
      <c r="V45" s="53"/>
      <c r="W45" s="26"/>
      <c r="X45" s="26"/>
      <c r="Y45" s="54"/>
      <c r="Z45" s="53"/>
      <c r="AA45" s="26"/>
      <c r="AB45" s="22"/>
      <c r="AC45" s="22"/>
      <c r="AD45" s="26"/>
      <c r="AE45" s="26"/>
      <c r="AF45" s="26"/>
      <c r="AG45" s="26"/>
      <c r="AH45" s="26"/>
      <c r="AI45" s="54"/>
    </row>
    <row r="46" spans="1:35" s="14" customFormat="1" ht="16.350000000000001" customHeight="1" x14ac:dyDescent="0.25">
      <c r="A46" s="87" t="s">
        <v>221</v>
      </c>
      <c r="B46" s="11" t="s">
        <v>154</v>
      </c>
      <c r="C46" s="13" t="s">
        <v>231</v>
      </c>
      <c r="D46" s="11" t="s">
        <v>153</v>
      </c>
      <c r="E46" s="62" t="s">
        <v>4</v>
      </c>
      <c r="F46" s="66"/>
      <c r="G46" s="24"/>
      <c r="H46" s="23"/>
      <c r="I46" s="45"/>
      <c r="J46" s="26"/>
      <c r="K46" s="67"/>
      <c r="L46" s="65"/>
      <c r="M46" s="43">
        <v>100</v>
      </c>
      <c r="N46" s="48">
        <v>50</v>
      </c>
      <c r="O46" s="48"/>
      <c r="P46" s="48"/>
      <c r="Q46" s="48"/>
      <c r="R46" s="48"/>
      <c r="S46" s="48"/>
      <c r="T46" s="48"/>
      <c r="U46" s="48"/>
      <c r="V46" s="53"/>
      <c r="W46" s="26"/>
      <c r="X46" s="26"/>
      <c r="Y46" s="54"/>
      <c r="Z46" s="53"/>
      <c r="AA46" s="26"/>
      <c r="AB46" s="22"/>
      <c r="AC46" s="22"/>
      <c r="AD46" s="26"/>
      <c r="AE46" s="26"/>
      <c r="AF46" s="26"/>
      <c r="AG46" s="26"/>
      <c r="AH46" s="26"/>
      <c r="AI46" s="54"/>
    </row>
    <row r="47" spans="1:35" s="14" customFormat="1" ht="16.350000000000001" customHeight="1" x14ac:dyDescent="0.25">
      <c r="A47" s="90" t="s">
        <v>84</v>
      </c>
      <c r="B47" s="11" t="s">
        <v>83</v>
      </c>
      <c r="C47" s="13" t="s">
        <v>81</v>
      </c>
      <c r="D47" s="11" t="s">
        <v>82</v>
      </c>
      <c r="E47" s="62" t="s">
        <v>4</v>
      </c>
      <c r="F47" s="66"/>
      <c r="G47" s="24"/>
      <c r="H47" s="23"/>
      <c r="I47" s="45"/>
      <c r="J47" s="26"/>
      <c r="K47" s="67"/>
      <c r="L47" s="65"/>
      <c r="M47" s="43">
        <v>100</v>
      </c>
      <c r="N47" s="48">
        <v>100</v>
      </c>
      <c r="O47" s="48"/>
      <c r="P47" s="48"/>
      <c r="Q47" s="48"/>
      <c r="R47" s="48"/>
      <c r="S47" s="48"/>
      <c r="T47" s="48"/>
      <c r="U47" s="48"/>
      <c r="V47" s="53"/>
      <c r="W47" s="26"/>
      <c r="X47" s="26"/>
      <c r="Y47" s="54"/>
      <c r="Z47" s="53"/>
      <c r="AA47" s="26"/>
      <c r="AB47" s="22"/>
      <c r="AC47" s="22"/>
      <c r="AD47" s="26"/>
      <c r="AE47" s="26"/>
      <c r="AF47" s="26"/>
      <c r="AG47" s="26"/>
      <c r="AH47" s="26"/>
      <c r="AI47" s="54"/>
    </row>
    <row r="48" spans="1:35" s="14" customFormat="1" ht="16.350000000000001" customHeight="1" x14ac:dyDescent="0.25">
      <c r="A48" s="91" t="s">
        <v>32</v>
      </c>
      <c r="B48" s="11" t="s">
        <v>49</v>
      </c>
      <c r="C48" s="13" t="s">
        <v>69</v>
      </c>
      <c r="D48" s="16" t="s">
        <v>99</v>
      </c>
      <c r="E48" s="62" t="s">
        <v>4</v>
      </c>
      <c r="F48" s="66"/>
      <c r="G48" s="24"/>
      <c r="H48" s="25"/>
      <c r="I48" s="45"/>
      <c r="J48" s="26"/>
      <c r="K48" s="67"/>
      <c r="L48" s="65"/>
      <c r="M48" s="43">
        <v>50</v>
      </c>
      <c r="N48" s="48"/>
      <c r="O48" s="48"/>
      <c r="P48" s="48"/>
      <c r="Q48" s="48"/>
      <c r="R48" s="48"/>
      <c r="S48" s="48"/>
      <c r="T48" s="48"/>
      <c r="U48" s="48"/>
      <c r="V48" s="53"/>
      <c r="W48" s="26"/>
      <c r="X48" s="26"/>
      <c r="Y48" s="54"/>
      <c r="Z48" s="53"/>
      <c r="AA48" s="26"/>
      <c r="AB48" s="22"/>
      <c r="AC48" s="22"/>
      <c r="AD48" s="26"/>
      <c r="AE48" s="26"/>
      <c r="AF48" s="26"/>
      <c r="AG48" s="26"/>
      <c r="AH48" s="26"/>
      <c r="AI48" s="54"/>
    </row>
    <row r="49" spans="1:35" s="14" customFormat="1" ht="16.350000000000001" customHeight="1" x14ac:dyDescent="0.25">
      <c r="A49" s="87" t="s">
        <v>299</v>
      </c>
      <c r="B49" s="11"/>
      <c r="C49" s="11"/>
      <c r="D49" s="11"/>
      <c r="E49" s="62" t="s">
        <v>4</v>
      </c>
      <c r="F49" s="66"/>
      <c r="G49" s="24"/>
      <c r="H49" s="25"/>
      <c r="I49" s="45"/>
      <c r="J49" s="26"/>
      <c r="K49" s="67"/>
      <c r="L49" s="48"/>
      <c r="M49" s="48"/>
      <c r="N49" s="48"/>
      <c r="O49" s="48"/>
      <c r="P49" s="48"/>
      <c r="Q49" s="48"/>
      <c r="R49" s="48"/>
      <c r="S49" s="48"/>
      <c r="T49" s="48"/>
      <c r="U49" s="48"/>
      <c r="V49" s="53"/>
      <c r="W49" s="26"/>
      <c r="X49" s="26"/>
      <c r="Y49" s="54"/>
      <c r="Z49" s="53"/>
      <c r="AA49" s="26"/>
      <c r="AB49" s="22"/>
      <c r="AC49" s="22"/>
      <c r="AD49" s="26"/>
      <c r="AE49" s="26"/>
      <c r="AF49" s="26"/>
      <c r="AG49" s="26"/>
      <c r="AH49" s="26"/>
      <c r="AI49" s="54"/>
    </row>
    <row r="50" spans="1:35" s="14" customFormat="1" ht="16.350000000000001" customHeight="1" x14ac:dyDescent="0.25">
      <c r="A50" s="87" t="s">
        <v>219</v>
      </c>
      <c r="B50" s="11" t="s">
        <v>169</v>
      </c>
      <c r="C50" s="13" t="s">
        <v>171</v>
      </c>
      <c r="D50" s="11" t="s">
        <v>170</v>
      </c>
      <c r="E50" s="62" t="s">
        <v>4</v>
      </c>
      <c r="F50" s="66"/>
      <c r="G50" s="24"/>
      <c r="H50" s="25"/>
      <c r="I50" s="45"/>
      <c r="J50" s="26"/>
      <c r="K50" s="67"/>
      <c r="L50" s="65"/>
      <c r="M50" s="43">
        <v>50</v>
      </c>
      <c r="N50" s="48">
        <v>50</v>
      </c>
      <c r="O50" s="48"/>
      <c r="P50" s="48"/>
      <c r="Q50" s="48"/>
      <c r="R50" s="48"/>
      <c r="S50" s="48"/>
      <c r="T50" s="48"/>
      <c r="U50" s="48"/>
      <c r="V50" s="53"/>
      <c r="W50" s="26"/>
      <c r="X50" s="26"/>
      <c r="Y50" s="54"/>
      <c r="Z50" s="53"/>
      <c r="AA50" s="26"/>
      <c r="AB50" s="22"/>
      <c r="AC50" s="22"/>
      <c r="AD50" s="26"/>
      <c r="AE50" s="26"/>
      <c r="AF50" s="26"/>
      <c r="AG50" s="26"/>
      <c r="AH50" s="26"/>
      <c r="AI50" s="54"/>
    </row>
    <row r="51" spans="1:35" s="14" customFormat="1" ht="16.350000000000001" hidden="1" customHeight="1" x14ac:dyDescent="0.25">
      <c r="A51" s="87" t="s">
        <v>258</v>
      </c>
      <c r="B51" s="11"/>
      <c r="C51" s="13"/>
      <c r="D51" s="11"/>
      <c r="E51" s="62" t="s">
        <v>168</v>
      </c>
      <c r="F51" s="66" t="s">
        <v>259</v>
      </c>
      <c r="G51" s="24"/>
      <c r="H51" s="25"/>
      <c r="I51" s="45"/>
      <c r="J51" s="26"/>
      <c r="K51" s="67"/>
      <c r="L51" s="65"/>
      <c r="M51" s="43"/>
      <c r="N51" s="48"/>
      <c r="O51" s="48"/>
      <c r="P51" s="48"/>
      <c r="Q51" s="48"/>
      <c r="R51" s="48"/>
      <c r="S51" s="48"/>
      <c r="T51" s="48"/>
      <c r="U51" s="48"/>
      <c r="V51" s="53"/>
      <c r="W51" s="26"/>
      <c r="X51" s="26"/>
      <c r="Y51" s="54"/>
      <c r="Z51" s="53"/>
      <c r="AA51" s="26"/>
      <c r="AB51" s="22"/>
      <c r="AC51" s="22"/>
      <c r="AD51" s="26"/>
      <c r="AE51" s="26"/>
      <c r="AF51" s="26"/>
      <c r="AG51" s="26"/>
      <c r="AH51" s="26"/>
      <c r="AI51" s="54"/>
    </row>
    <row r="52" spans="1:35" s="14" customFormat="1" ht="16.350000000000001" customHeight="1" x14ac:dyDescent="0.25">
      <c r="A52" s="87" t="s">
        <v>290</v>
      </c>
      <c r="B52" s="11" t="s">
        <v>291</v>
      </c>
      <c r="C52" s="11"/>
      <c r="D52" s="11" t="s">
        <v>292</v>
      </c>
      <c r="E52" s="62" t="s">
        <v>4</v>
      </c>
      <c r="F52" s="66"/>
      <c r="G52" s="24"/>
      <c r="H52" s="25"/>
      <c r="I52" s="45"/>
      <c r="J52" s="26"/>
      <c r="K52" s="67"/>
      <c r="L52" s="65"/>
      <c r="M52" s="43"/>
      <c r="N52" s="48"/>
      <c r="O52" s="48"/>
      <c r="P52" s="48"/>
      <c r="Q52" s="48"/>
      <c r="R52" s="48"/>
      <c r="S52" s="48"/>
      <c r="T52" s="48"/>
      <c r="U52" s="48"/>
      <c r="V52" s="53"/>
      <c r="W52" s="26"/>
      <c r="X52" s="26"/>
      <c r="Y52" s="54"/>
      <c r="Z52" s="53"/>
      <c r="AA52" s="26"/>
      <c r="AB52" s="22"/>
      <c r="AC52" s="22"/>
      <c r="AD52" s="26"/>
      <c r="AE52" s="26"/>
      <c r="AF52" s="26"/>
      <c r="AG52" s="26"/>
      <c r="AH52" s="26"/>
      <c r="AI52" s="54"/>
    </row>
    <row r="53" spans="1:35" s="14" customFormat="1" ht="16.350000000000001" customHeight="1" x14ac:dyDescent="0.25">
      <c r="A53" s="89" t="s">
        <v>35</v>
      </c>
      <c r="B53" s="11" t="s">
        <v>53</v>
      </c>
      <c r="C53" s="13" t="s">
        <v>165</v>
      </c>
      <c r="D53" s="16" t="s">
        <v>103</v>
      </c>
      <c r="E53" s="62" t="s">
        <v>4</v>
      </c>
      <c r="F53" s="66"/>
      <c r="G53" s="24"/>
      <c r="H53" s="23"/>
      <c r="I53" s="45"/>
      <c r="J53" s="26"/>
      <c r="K53" s="67"/>
      <c r="L53" s="65"/>
      <c r="M53" s="43"/>
      <c r="N53" s="48">
        <v>100</v>
      </c>
      <c r="O53" s="48"/>
      <c r="P53" s="48"/>
      <c r="Q53" s="48"/>
      <c r="R53" s="48"/>
      <c r="S53" s="48"/>
      <c r="T53" s="48"/>
      <c r="U53" s="48"/>
      <c r="V53" s="53"/>
      <c r="W53" s="26"/>
      <c r="X53" s="26"/>
      <c r="Y53" s="54"/>
      <c r="Z53" s="53"/>
      <c r="AA53" s="26"/>
      <c r="AB53" s="22"/>
      <c r="AC53" s="22"/>
      <c r="AD53" s="26"/>
      <c r="AE53" s="26"/>
      <c r="AF53" s="26"/>
      <c r="AG53" s="26"/>
      <c r="AH53" s="26"/>
      <c r="AI53" s="54"/>
    </row>
    <row r="54" spans="1:35" s="14" customFormat="1" ht="16.350000000000001" customHeight="1" x14ac:dyDescent="0.25">
      <c r="A54" s="87" t="s">
        <v>287</v>
      </c>
      <c r="B54" s="11" t="s">
        <v>288</v>
      </c>
      <c r="C54" s="11"/>
      <c r="D54" s="11" t="s">
        <v>289</v>
      </c>
      <c r="E54" s="62" t="s">
        <v>4</v>
      </c>
      <c r="F54" s="66"/>
      <c r="G54" s="24"/>
      <c r="H54" s="25"/>
      <c r="I54" s="45"/>
      <c r="J54" s="26"/>
      <c r="K54" s="67"/>
      <c r="L54" s="65"/>
      <c r="M54" s="43"/>
      <c r="N54" s="48"/>
      <c r="O54" s="48"/>
      <c r="P54" s="48"/>
      <c r="Q54" s="48"/>
      <c r="R54" s="48"/>
      <c r="S54" s="48"/>
      <c r="T54" s="48"/>
      <c r="U54" s="48"/>
      <c r="V54" s="53"/>
      <c r="W54" s="26"/>
      <c r="X54" s="26"/>
      <c r="Y54" s="54"/>
      <c r="Z54" s="53"/>
      <c r="AA54" s="26"/>
      <c r="AB54" s="22"/>
      <c r="AC54" s="22"/>
      <c r="AD54" s="26"/>
      <c r="AE54" s="26"/>
      <c r="AF54" s="26"/>
      <c r="AG54" s="26"/>
      <c r="AH54" s="26"/>
      <c r="AI54" s="54"/>
    </row>
    <row r="55" spans="1:35" s="14" customFormat="1" ht="16.350000000000001" hidden="1" customHeight="1" x14ac:dyDescent="0.25">
      <c r="A55" s="87" t="s">
        <v>209</v>
      </c>
      <c r="B55" s="11" t="s">
        <v>198</v>
      </c>
      <c r="C55" s="13" t="s">
        <v>197</v>
      </c>
      <c r="D55" s="11" t="s">
        <v>199</v>
      </c>
      <c r="E55" s="62" t="s">
        <v>4</v>
      </c>
      <c r="F55" s="66" t="s">
        <v>259</v>
      </c>
      <c r="G55" s="24"/>
      <c r="H55" s="25"/>
      <c r="I55" s="45"/>
      <c r="J55" s="26"/>
      <c r="K55" s="67"/>
      <c r="L55" s="65"/>
      <c r="M55" s="43"/>
      <c r="N55" s="48">
        <v>100</v>
      </c>
      <c r="O55" s="48"/>
      <c r="P55" s="48"/>
      <c r="Q55" s="48"/>
      <c r="R55" s="48"/>
      <c r="S55" s="48"/>
      <c r="T55" s="48"/>
      <c r="U55" s="48"/>
      <c r="V55" s="53"/>
      <c r="W55" s="26"/>
      <c r="X55" s="26"/>
      <c r="Y55" s="54"/>
      <c r="Z55" s="53"/>
      <c r="AA55" s="26"/>
      <c r="AB55" s="22"/>
      <c r="AC55" s="22"/>
      <c r="AD55" s="26"/>
      <c r="AE55" s="26"/>
      <c r="AF55" s="26"/>
      <c r="AG55" s="26"/>
      <c r="AH55" s="26"/>
      <c r="AI55" s="54"/>
    </row>
    <row r="56" spans="1:35" s="14" customFormat="1" ht="16.350000000000001" customHeight="1" x14ac:dyDescent="0.25">
      <c r="A56" s="87" t="s">
        <v>298</v>
      </c>
      <c r="B56" s="11"/>
      <c r="C56" s="11"/>
      <c r="D56" s="11"/>
      <c r="E56" s="62" t="s">
        <v>4</v>
      </c>
      <c r="F56" s="66"/>
      <c r="G56" s="24"/>
      <c r="H56" s="25"/>
      <c r="I56" s="45"/>
      <c r="J56" s="26"/>
      <c r="K56" s="67"/>
      <c r="L56" s="65"/>
      <c r="M56" s="43"/>
      <c r="N56" s="48"/>
      <c r="O56" s="48"/>
      <c r="P56" s="48"/>
      <c r="Q56" s="48"/>
      <c r="R56" s="48"/>
      <c r="S56" s="48"/>
      <c r="T56" s="48"/>
      <c r="U56" s="48"/>
      <c r="V56" s="53"/>
      <c r="W56" s="26"/>
      <c r="X56" s="26"/>
      <c r="Y56" s="54"/>
      <c r="Z56" s="53"/>
      <c r="AA56" s="26"/>
      <c r="AB56" s="22"/>
      <c r="AC56" s="22"/>
      <c r="AD56" s="26"/>
      <c r="AE56" s="26"/>
      <c r="AF56" s="26"/>
      <c r="AG56" s="26"/>
      <c r="AH56" s="26"/>
      <c r="AI56" s="54"/>
    </row>
    <row r="57" spans="1:35" s="14" customFormat="1" ht="16.350000000000001" customHeight="1" x14ac:dyDescent="0.25">
      <c r="A57" s="87" t="s">
        <v>200</v>
      </c>
      <c r="B57" s="11" t="s">
        <v>201</v>
      </c>
      <c r="C57" s="13" t="s">
        <v>230</v>
      </c>
      <c r="D57" s="11"/>
      <c r="E57" s="62" t="s">
        <v>4</v>
      </c>
      <c r="F57" s="66"/>
      <c r="G57" s="24"/>
      <c r="H57" s="25"/>
      <c r="I57" s="45"/>
      <c r="J57" s="26"/>
      <c r="K57" s="67"/>
      <c r="L57" s="65"/>
      <c r="M57" s="43">
        <v>50</v>
      </c>
      <c r="N57" s="48">
        <v>50</v>
      </c>
      <c r="O57" s="48"/>
      <c r="P57" s="48"/>
      <c r="Q57" s="48"/>
      <c r="R57" s="48"/>
      <c r="S57" s="48"/>
      <c r="T57" s="48"/>
      <c r="U57" s="48"/>
      <c r="V57" s="53"/>
      <c r="W57" s="26"/>
      <c r="X57" s="26"/>
      <c r="Y57" s="54"/>
      <c r="Z57" s="53"/>
      <c r="AA57" s="26"/>
      <c r="AB57" s="22"/>
      <c r="AC57" s="22"/>
      <c r="AD57" s="26"/>
      <c r="AE57" s="26"/>
      <c r="AF57" s="26"/>
      <c r="AG57" s="26"/>
      <c r="AH57" s="26"/>
      <c r="AI57" s="54"/>
    </row>
    <row r="58" spans="1:35" s="14" customFormat="1" ht="16.350000000000001" customHeight="1" x14ac:dyDescent="0.25">
      <c r="A58" s="87" t="s">
        <v>238</v>
      </c>
      <c r="B58" s="11" t="s">
        <v>240</v>
      </c>
      <c r="C58" s="13" t="s">
        <v>282</v>
      </c>
      <c r="D58" s="11" t="s">
        <v>257</v>
      </c>
      <c r="E58" s="62" t="s">
        <v>239</v>
      </c>
      <c r="F58" s="66"/>
      <c r="G58" s="24"/>
      <c r="H58" s="25"/>
      <c r="I58" s="45"/>
      <c r="J58" s="26"/>
      <c r="K58" s="67"/>
      <c r="L58" s="65"/>
      <c r="M58" s="43">
        <v>100</v>
      </c>
      <c r="N58" s="48">
        <v>100</v>
      </c>
      <c r="O58" s="48"/>
      <c r="P58" s="48"/>
      <c r="Q58" s="48"/>
      <c r="R58" s="48"/>
      <c r="S58" s="48"/>
      <c r="T58" s="48"/>
      <c r="U58" s="48"/>
      <c r="V58" s="53"/>
      <c r="W58" s="26"/>
      <c r="X58" s="26"/>
      <c r="Y58" s="54"/>
      <c r="Z58" s="53"/>
      <c r="AA58" s="26"/>
      <c r="AB58" s="22"/>
      <c r="AC58" s="22"/>
      <c r="AD58" s="26"/>
      <c r="AE58" s="26"/>
      <c r="AF58" s="26"/>
      <c r="AG58" s="26"/>
      <c r="AH58" s="26"/>
      <c r="AI58" s="54"/>
    </row>
    <row r="59" spans="1:35" s="14" customFormat="1" ht="16.350000000000001" customHeight="1" x14ac:dyDescent="0.25">
      <c r="A59" s="89" t="s">
        <v>36</v>
      </c>
      <c r="B59" s="11" t="s">
        <v>54</v>
      </c>
      <c r="C59" s="13" t="s">
        <v>72</v>
      </c>
      <c r="D59" s="16" t="s">
        <v>104</v>
      </c>
      <c r="E59" s="62" t="s">
        <v>9</v>
      </c>
      <c r="F59" s="66"/>
      <c r="G59" s="24"/>
      <c r="H59" s="25"/>
      <c r="I59" s="45"/>
      <c r="J59" s="26"/>
      <c r="K59" s="67"/>
      <c r="L59" s="65"/>
      <c r="M59" s="43"/>
      <c r="N59" s="48"/>
      <c r="O59" s="48"/>
      <c r="P59" s="48"/>
      <c r="Q59" s="48"/>
      <c r="R59" s="48"/>
      <c r="S59" s="48"/>
      <c r="T59" s="48"/>
      <c r="U59" s="48"/>
      <c r="V59" s="53"/>
      <c r="W59" s="26"/>
      <c r="X59" s="26"/>
      <c r="Y59" s="54"/>
      <c r="Z59" s="53"/>
      <c r="AA59" s="26"/>
      <c r="AB59" s="22"/>
      <c r="AC59" s="22"/>
      <c r="AD59" s="26"/>
      <c r="AE59" s="26"/>
      <c r="AF59" s="26"/>
      <c r="AG59" s="26"/>
      <c r="AH59" s="26"/>
      <c r="AI59" s="54"/>
    </row>
    <row r="60" spans="1:35" s="14" customFormat="1" ht="16.350000000000001" hidden="1" customHeight="1" x14ac:dyDescent="0.25">
      <c r="A60" s="87" t="s">
        <v>161</v>
      </c>
      <c r="B60" s="11" t="s">
        <v>162</v>
      </c>
      <c r="C60" s="13" t="s">
        <v>163</v>
      </c>
      <c r="D60" s="11" t="s">
        <v>164</v>
      </c>
      <c r="E60" s="62" t="s">
        <v>5</v>
      </c>
      <c r="F60" s="66" t="s">
        <v>307</v>
      </c>
      <c r="G60" s="24"/>
      <c r="H60" s="25"/>
      <c r="I60" s="45"/>
      <c r="J60" s="20"/>
      <c r="K60" s="68"/>
      <c r="L60" s="65"/>
      <c r="M60" s="43"/>
      <c r="N60" s="48"/>
      <c r="O60" s="48"/>
      <c r="P60" s="48"/>
      <c r="Q60" s="48"/>
      <c r="R60" s="48"/>
      <c r="S60" s="48"/>
      <c r="T60" s="48"/>
      <c r="U60" s="48"/>
      <c r="V60" s="53"/>
      <c r="W60" s="26"/>
      <c r="X60" s="26"/>
      <c r="Y60" s="55"/>
      <c r="Z60" s="53"/>
      <c r="AA60" s="26"/>
      <c r="AB60" s="22"/>
      <c r="AC60" s="22"/>
      <c r="AD60" s="26"/>
      <c r="AE60" s="26"/>
      <c r="AF60" s="26"/>
      <c r="AG60" s="26"/>
      <c r="AH60" s="26"/>
      <c r="AI60" s="54"/>
    </row>
    <row r="61" spans="1:35" s="14" customFormat="1" ht="16.350000000000001" hidden="1" customHeight="1" x14ac:dyDescent="0.25">
      <c r="A61" s="89" t="s">
        <v>41</v>
      </c>
      <c r="B61" s="11" t="s">
        <v>112</v>
      </c>
      <c r="C61" s="13" t="s">
        <v>113</v>
      </c>
      <c r="D61" s="11" t="s">
        <v>114</v>
      </c>
      <c r="E61" s="62" t="s">
        <v>5</v>
      </c>
      <c r="F61" s="66" t="s">
        <v>307</v>
      </c>
      <c r="G61" s="24"/>
      <c r="H61" s="23"/>
      <c r="I61" s="45"/>
      <c r="J61" s="26"/>
      <c r="K61" s="67"/>
      <c r="L61" s="65"/>
      <c r="M61" s="43"/>
      <c r="N61" s="48"/>
      <c r="O61" s="48"/>
      <c r="P61" s="48"/>
      <c r="Q61" s="48"/>
      <c r="R61" s="48"/>
      <c r="S61" s="48"/>
      <c r="T61" s="48"/>
      <c r="U61" s="48"/>
      <c r="V61" s="53"/>
      <c r="W61" s="26"/>
      <c r="X61" s="26"/>
      <c r="Y61" s="55"/>
      <c r="Z61" s="53"/>
      <c r="AA61" s="26"/>
      <c r="AB61" s="22"/>
      <c r="AC61" s="22"/>
      <c r="AD61" s="26"/>
      <c r="AE61" s="26"/>
      <c r="AF61" s="26"/>
      <c r="AG61" s="26"/>
      <c r="AH61" s="26"/>
      <c r="AI61" s="54"/>
    </row>
    <row r="62" spans="1:35" s="14" customFormat="1" ht="16.350000000000001" hidden="1" customHeight="1" x14ac:dyDescent="0.25">
      <c r="A62" s="87" t="s">
        <v>149</v>
      </c>
      <c r="B62" s="11" t="s">
        <v>152</v>
      </c>
      <c r="C62" s="13" t="s">
        <v>150</v>
      </c>
      <c r="D62" s="11" t="s">
        <v>151</v>
      </c>
      <c r="E62" s="62" t="s">
        <v>168</v>
      </c>
      <c r="F62" s="66" t="s">
        <v>259</v>
      </c>
      <c r="G62" s="24"/>
      <c r="H62" s="23"/>
      <c r="I62" s="45"/>
      <c r="J62" s="26"/>
      <c r="K62" s="67"/>
      <c r="L62" s="65"/>
      <c r="M62" s="43"/>
      <c r="N62" s="48"/>
      <c r="O62" s="48"/>
      <c r="P62" s="48"/>
      <c r="Q62" s="48"/>
      <c r="R62" s="48"/>
      <c r="S62" s="48"/>
      <c r="T62" s="48"/>
      <c r="U62" s="48"/>
      <c r="V62" s="53"/>
      <c r="W62" s="26"/>
      <c r="X62" s="26"/>
      <c r="Y62" s="54"/>
      <c r="Z62" s="53"/>
      <c r="AA62" s="26"/>
      <c r="AB62" s="22"/>
      <c r="AC62" s="22"/>
      <c r="AD62" s="26"/>
      <c r="AE62" s="26"/>
      <c r="AF62" s="26"/>
      <c r="AG62" s="26"/>
      <c r="AH62" s="26"/>
      <c r="AI62" s="54"/>
    </row>
    <row r="63" spans="1:35" s="14" customFormat="1" ht="16.350000000000001" hidden="1" customHeight="1" x14ac:dyDescent="0.25">
      <c r="A63" s="87" t="s">
        <v>228</v>
      </c>
      <c r="B63" s="11"/>
      <c r="C63" s="11"/>
      <c r="D63" s="11"/>
      <c r="E63" s="62" t="s">
        <v>5</v>
      </c>
      <c r="F63" s="66"/>
      <c r="G63" s="24"/>
      <c r="H63" s="25"/>
      <c r="I63" s="45"/>
      <c r="J63" s="26"/>
      <c r="K63" s="67"/>
      <c r="L63" s="43"/>
      <c r="M63" s="43"/>
      <c r="N63" s="48"/>
      <c r="O63" s="48"/>
      <c r="P63" s="48"/>
      <c r="Q63" s="48"/>
      <c r="R63" s="48"/>
      <c r="S63" s="48"/>
      <c r="T63" s="48"/>
      <c r="U63" s="48"/>
      <c r="V63" s="53"/>
      <c r="W63" s="26"/>
      <c r="X63" s="26"/>
      <c r="Y63" s="54"/>
      <c r="Z63" s="53"/>
      <c r="AA63" s="26"/>
      <c r="AB63" s="22"/>
      <c r="AC63" s="22"/>
      <c r="AD63" s="26"/>
      <c r="AE63" s="26"/>
      <c r="AF63" s="26"/>
      <c r="AG63" s="26"/>
      <c r="AH63" s="26"/>
      <c r="AI63" s="54"/>
    </row>
    <row r="64" spans="1:35" s="14" customFormat="1" ht="16.350000000000001" customHeight="1" x14ac:dyDescent="0.25">
      <c r="A64" s="89" t="s">
        <v>156</v>
      </c>
      <c r="B64" s="11" t="s">
        <v>55</v>
      </c>
      <c r="C64" s="13" t="s">
        <v>73</v>
      </c>
      <c r="D64" s="16" t="s">
        <v>105</v>
      </c>
      <c r="E64" s="62" t="s">
        <v>5</v>
      </c>
      <c r="F64" s="66"/>
      <c r="G64" s="24"/>
      <c r="H64" s="23"/>
      <c r="I64" s="45"/>
      <c r="J64" s="26"/>
      <c r="K64" s="67"/>
      <c r="L64" s="65"/>
      <c r="M64" s="43">
        <v>500</v>
      </c>
      <c r="N64" s="48">
        <v>100</v>
      </c>
      <c r="O64" s="48">
        <v>500</v>
      </c>
      <c r="P64" s="48"/>
      <c r="Q64" s="48"/>
      <c r="R64" s="48"/>
      <c r="S64" s="48"/>
      <c r="T64" s="48"/>
      <c r="U64" s="48"/>
      <c r="V64" s="53" t="s">
        <v>259</v>
      </c>
      <c r="W64" s="26"/>
      <c r="X64" s="26" t="s">
        <v>259</v>
      </c>
      <c r="Y64" s="54"/>
      <c r="Z64" s="53"/>
      <c r="AA64" s="26" t="s">
        <v>259</v>
      </c>
      <c r="AB64" s="22" t="s">
        <v>259</v>
      </c>
      <c r="AC64" s="22" t="s">
        <v>259</v>
      </c>
      <c r="AD64" s="26"/>
      <c r="AE64" s="26" t="s">
        <v>259</v>
      </c>
      <c r="AF64" s="26" t="s">
        <v>259</v>
      </c>
      <c r="AG64" s="26"/>
      <c r="AH64" s="26" t="s">
        <v>259</v>
      </c>
      <c r="AI64" s="54" t="s">
        <v>259</v>
      </c>
    </row>
    <row r="65" spans="1:35" s="14" customFormat="1" ht="16.350000000000001" customHeight="1" x14ac:dyDescent="0.25">
      <c r="A65" s="87" t="s">
        <v>268</v>
      </c>
      <c r="B65" s="11" t="s">
        <v>269</v>
      </c>
      <c r="C65" s="13" t="s">
        <v>270</v>
      </c>
      <c r="D65" s="11" t="s">
        <v>271</v>
      </c>
      <c r="E65" s="62" t="s">
        <v>272</v>
      </c>
      <c r="F65" s="66"/>
      <c r="G65" s="24"/>
      <c r="H65" s="25"/>
      <c r="I65" s="45"/>
      <c r="J65" s="26"/>
      <c r="K65" s="67"/>
      <c r="L65" s="43"/>
      <c r="M65" s="43">
        <v>300</v>
      </c>
      <c r="N65" s="48"/>
      <c r="O65" s="48"/>
      <c r="P65" s="48"/>
      <c r="Q65" s="48"/>
      <c r="R65" s="48"/>
      <c r="S65" s="48"/>
      <c r="T65" s="48"/>
      <c r="U65" s="48"/>
      <c r="V65" s="53"/>
      <c r="W65" s="26"/>
      <c r="X65" s="26"/>
      <c r="Y65" s="54"/>
      <c r="Z65" s="53"/>
      <c r="AA65" s="26"/>
      <c r="AB65" s="22"/>
      <c r="AC65" s="22"/>
      <c r="AD65" s="26"/>
      <c r="AE65" s="26"/>
      <c r="AF65" s="26"/>
      <c r="AG65" s="26"/>
      <c r="AH65" s="26"/>
      <c r="AI65" s="54"/>
    </row>
    <row r="66" spans="1:35" s="14" customFormat="1" ht="16.350000000000001" customHeight="1" x14ac:dyDescent="0.25">
      <c r="A66" s="87" t="s">
        <v>284</v>
      </c>
      <c r="B66" s="11" t="s">
        <v>283</v>
      </c>
      <c r="C66" s="13" t="s">
        <v>285</v>
      </c>
      <c r="D66" s="11" t="s">
        <v>286</v>
      </c>
      <c r="E66" s="62" t="s">
        <v>272</v>
      </c>
      <c r="F66" s="66"/>
      <c r="G66" s="24"/>
      <c r="H66" s="25"/>
      <c r="I66" s="45"/>
      <c r="J66" s="26"/>
      <c r="K66" s="67"/>
      <c r="L66" s="65"/>
      <c r="M66" s="43">
        <v>100</v>
      </c>
      <c r="N66" s="48"/>
      <c r="O66" s="48"/>
      <c r="P66" s="48"/>
      <c r="Q66" s="48"/>
      <c r="R66" s="48"/>
      <c r="S66" s="48"/>
      <c r="T66" s="48"/>
      <c r="U66" s="48"/>
      <c r="V66" s="53"/>
      <c r="W66" s="26"/>
      <c r="X66" s="26"/>
      <c r="Y66" s="54"/>
      <c r="Z66" s="53"/>
      <c r="AA66" s="26"/>
      <c r="AB66" s="22"/>
      <c r="AC66" s="22"/>
      <c r="AD66" s="26"/>
      <c r="AE66" s="26"/>
      <c r="AF66" s="26"/>
      <c r="AG66" s="26"/>
      <c r="AH66" s="26"/>
      <c r="AI66" s="54"/>
    </row>
    <row r="67" spans="1:35" s="14" customFormat="1" ht="16.350000000000001" customHeight="1" x14ac:dyDescent="0.25">
      <c r="A67" s="87" t="s">
        <v>273</v>
      </c>
      <c r="B67" s="11" t="s">
        <v>274</v>
      </c>
      <c r="C67" s="13" t="s">
        <v>275</v>
      </c>
      <c r="D67" s="11" t="s">
        <v>276</v>
      </c>
      <c r="E67" s="62" t="s">
        <v>272</v>
      </c>
      <c r="F67" s="66"/>
      <c r="G67" s="24"/>
      <c r="H67" s="25"/>
      <c r="I67" s="45"/>
      <c r="J67" s="26"/>
      <c r="K67" s="67"/>
      <c r="L67" s="43"/>
      <c r="M67" s="43">
        <v>50</v>
      </c>
      <c r="N67" s="48"/>
      <c r="O67" s="48"/>
      <c r="P67" s="48"/>
      <c r="Q67" s="48"/>
      <c r="R67" s="48"/>
      <c r="S67" s="48"/>
      <c r="T67" s="48"/>
      <c r="U67" s="48"/>
      <c r="V67" s="53"/>
      <c r="W67" s="26"/>
      <c r="X67" s="26"/>
      <c r="Y67" s="54"/>
      <c r="Z67" s="53"/>
      <c r="AA67" s="26"/>
      <c r="AB67" s="22"/>
      <c r="AC67" s="22"/>
      <c r="AD67" s="26"/>
      <c r="AE67" s="26"/>
      <c r="AF67" s="26"/>
      <c r="AG67" s="26"/>
      <c r="AH67" s="26"/>
      <c r="AI67" s="54"/>
    </row>
    <row r="68" spans="1:35" s="14" customFormat="1" ht="16.350000000000001" customHeight="1" x14ac:dyDescent="0.25">
      <c r="A68" s="89" t="s">
        <v>29</v>
      </c>
      <c r="B68" s="11" t="s">
        <v>280</v>
      </c>
      <c r="C68" s="13" t="s">
        <v>281</v>
      </c>
      <c r="D68" s="16" t="s">
        <v>96</v>
      </c>
      <c r="E68" s="62" t="s">
        <v>116</v>
      </c>
      <c r="F68" s="66"/>
      <c r="G68" s="24"/>
      <c r="H68" s="25"/>
      <c r="I68" s="45"/>
      <c r="J68" s="26"/>
      <c r="K68" s="67"/>
      <c r="L68" s="65"/>
      <c r="M68" s="43">
        <v>300</v>
      </c>
      <c r="N68" s="48">
        <v>150</v>
      </c>
      <c r="O68" s="48"/>
      <c r="P68" s="48"/>
      <c r="Q68" s="48"/>
      <c r="R68" s="48"/>
      <c r="S68" s="48"/>
      <c r="T68" s="48"/>
      <c r="U68" s="48"/>
      <c r="V68" s="53"/>
      <c r="W68" s="26"/>
      <c r="X68" s="26"/>
      <c r="Y68" s="54"/>
      <c r="Z68" s="53"/>
      <c r="AA68" s="26"/>
      <c r="AB68" s="22"/>
      <c r="AC68" s="22"/>
      <c r="AD68" s="26"/>
      <c r="AE68" s="26"/>
      <c r="AF68" s="26"/>
      <c r="AG68" s="26"/>
      <c r="AH68" s="26"/>
      <c r="AI68" s="54"/>
    </row>
    <row r="69" spans="1:35" s="14" customFormat="1" ht="16.350000000000001" customHeight="1" x14ac:dyDescent="0.25">
      <c r="A69" s="88" t="s">
        <v>26</v>
      </c>
      <c r="B69" s="11" t="s">
        <v>47</v>
      </c>
      <c r="C69" s="13" t="s">
        <v>66</v>
      </c>
      <c r="D69" s="16" t="s">
        <v>93</v>
      </c>
      <c r="E69" s="62" t="s">
        <v>121</v>
      </c>
      <c r="F69" s="66"/>
      <c r="G69" s="24"/>
      <c r="H69" s="25"/>
      <c r="I69" s="45"/>
      <c r="J69" s="26"/>
      <c r="K69" s="67"/>
      <c r="L69" s="65"/>
      <c r="M69" s="43">
        <v>150</v>
      </c>
      <c r="N69" s="48">
        <v>100</v>
      </c>
      <c r="O69" s="48">
        <v>100</v>
      </c>
      <c r="P69" s="48">
        <v>100</v>
      </c>
      <c r="Q69" s="48">
        <v>100</v>
      </c>
      <c r="R69" s="48">
        <v>100</v>
      </c>
      <c r="S69" s="48">
        <v>100</v>
      </c>
      <c r="T69" s="48">
        <v>100</v>
      </c>
      <c r="U69" s="48">
        <v>100</v>
      </c>
      <c r="V69" s="53"/>
      <c r="W69" s="26"/>
      <c r="X69" s="26"/>
      <c r="Y69" s="54"/>
      <c r="Z69" s="53"/>
      <c r="AA69" s="26"/>
      <c r="AB69" s="22"/>
      <c r="AC69" s="22"/>
      <c r="AD69" s="26"/>
      <c r="AE69" s="26"/>
      <c r="AF69" s="26"/>
      <c r="AG69" s="26"/>
      <c r="AH69" s="26"/>
      <c r="AI69" s="54"/>
    </row>
    <row r="70" spans="1:35" s="14" customFormat="1" ht="16.350000000000001" customHeight="1" x14ac:dyDescent="0.25">
      <c r="A70" s="89" t="s">
        <v>27</v>
      </c>
      <c r="B70" s="11" t="s">
        <v>210</v>
      </c>
      <c r="C70" s="13" t="s">
        <v>182</v>
      </c>
      <c r="D70" s="16" t="s">
        <v>94</v>
      </c>
      <c r="E70" s="62" t="s">
        <v>121</v>
      </c>
      <c r="F70" s="66"/>
      <c r="G70" s="24"/>
      <c r="H70" s="23"/>
      <c r="I70" s="45"/>
      <c r="J70" s="26"/>
      <c r="K70" s="67"/>
      <c r="L70" s="65"/>
      <c r="M70" s="43">
        <v>100</v>
      </c>
      <c r="N70" s="48">
        <v>50</v>
      </c>
      <c r="O70" s="48" t="s">
        <v>306</v>
      </c>
      <c r="P70" s="48" t="s">
        <v>306</v>
      </c>
      <c r="Q70" s="48" t="s">
        <v>306</v>
      </c>
      <c r="R70" s="48" t="s">
        <v>306</v>
      </c>
      <c r="S70" s="48" t="s">
        <v>306</v>
      </c>
      <c r="T70" s="48" t="s">
        <v>306</v>
      </c>
      <c r="U70" s="48" t="s">
        <v>306</v>
      </c>
      <c r="V70" s="53"/>
      <c r="W70" s="26"/>
      <c r="X70" s="26"/>
      <c r="Y70" s="54"/>
      <c r="Z70" s="53"/>
      <c r="AA70" s="26"/>
      <c r="AB70" s="22"/>
      <c r="AC70" s="22"/>
      <c r="AD70" s="26"/>
      <c r="AE70" s="26"/>
      <c r="AF70" s="26"/>
      <c r="AG70" s="26"/>
      <c r="AH70" s="26"/>
      <c r="AI70" s="54"/>
    </row>
    <row r="71" spans="1:35" s="14" customFormat="1" ht="16.350000000000001" customHeight="1" x14ac:dyDescent="0.25">
      <c r="A71" s="87"/>
      <c r="B71" s="11"/>
      <c r="C71" s="11"/>
      <c r="D71" s="11"/>
      <c r="E71" s="62"/>
      <c r="F71" s="66"/>
      <c r="G71" s="24"/>
      <c r="H71" s="25"/>
      <c r="I71" s="45"/>
      <c r="J71" s="26"/>
      <c r="K71" s="67"/>
      <c r="L71" s="65"/>
      <c r="M71" s="43"/>
      <c r="N71" s="48"/>
      <c r="O71" s="48"/>
      <c r="P71" s="48"/>
      <c r="Q71" s="48"/>
      <c r="R71" s="48"/>
      <c r="S71" s="48"/>
      <c r="T71" s="48"/>
      <c r="U71" s="48"/>
      <c r="V71" s="53"/>
      <c r="W71" s="26"/>
      <c r="X71" s="26"/>
      <c r="Y71" s="54"/>
      <c r="Z71" s="53"/>
      <c r="AA71" s="26"/>
      <c r="AB71" s="22"/>
      <c r="AC71" s="22"/>
      <c r="AD71" s="26"/>
      <c r="AE71" s="26"/>
      <c r="AF71" s="26"/>
      <c r="AG71" s="26"/>
      <c r="AH71" s="26"/>
      <c r="AI71" s="54"/>
    </row>
    <row r="72" spans="1:35" s="14" customFormat="1" ht="16.350000000000001" customHeight="1" x14ac:dyDescent="0.25">
      <c r="A72" s="87"/>
      <c r="B72" s="11"/>
      <c r="C72" s="11"/>
      <c r="D72" s="11"/>
      <c r="E72" s="62"/>
      <c r="F72" s="66"/>
      <c r="G72" s="24"/>
      <c r="H72" s="25"/>
      <c r="I72" s="45"/>
      <c r="J72" s="26"/>
      <c r="K72" s="67"/>
      <c r="L72" s="65"/>
      <c r="M72" s="43"/>
      <c r="N72" s="48"/>
      <c r="O72" s="48"/>
      <c r="P72" s="48"/>
      <c r="Q72" s="48"/>
      <c r="R72" s="48"/>
      <c r="S72" s="48"/>
      <c r="T72" s="48"/>
      <c r="U72" s="48"/>
      <c r="V72" s="53"/>
      <c r="W72" s="26"/>
      <c r="X72" s="26"/>
      <c r="Y72" s="54"/>
      <c r="Z72" s="53"/>
      <c r="AA72" s="26"/>
      <c r="AB72" s="22"/>
      <c r="AC72" s="22"/>
      <c r="AD72" s="26"/>
      <c r="AE72" s="26"/>
      <c r="AF72" s="26"/>
      <c r="AG72" s="26"/>
      <c r="AH72" s="26"/>
      <c r="AI72" s="54"/>
    </row>
    <row r="73" spans="1:35" s="14" customFormat="1" ht="16.350000000000001" customHeight="1" x14ac:dyDescent="0.25">
      <c r="A73" s="87"/>
      <c r="B73" s="11"/>
      <c r="C73" s="11"/>
      <c r="D73" s="11"/>
      <c r="E73" s="62"/>
      <c r="F73" s="66"/>
      <c r="G73" s="24"/>
      <c r="H73" s="25"/>
      <c r="I73" s="45"/>
      <c r="J73" s="26"/>
      <c r="K73" s="67"/>
      <c r="L73" s="65"/>
      <c r="M73" s="43"/>
      <c r="N73" s="48"/>
      <c r="O73" s="48"/>
      <c r="P73" s="48"/>
      <c r="Q73" s="48"/>
      <c r="R73" s="48"/>
      <c r="S73" s="48"/>
      <c r="T73" s="48"/>
      <c r="U73" s="48"/>
      <c r="V73" s="53"/>
      <c r="W73" s="26"/>
      <c r="X73" s="26"/>
      <c r="Y73" s="54"/>
      <c r="Z73" s="53"/>
      <c r="AA73" s="26"/>
      <c r="AB73" s="22"/>
      <c r="AC73" s="22"/>
      <c r="AD73" s="26"/>
      <c r="AE73" s="26"/>
      <c r="AF73" s="26"/>
      <c r="AG73" s="26"/>
      <c r="AH73" s="26"/>
      <c r="AI73" s="54"/>
    </row>
    <row r="74" spans="1:35" s="14" customFormat="1" ht="16.350000000000001" customHeight="1" x14ac:dyDescent="0.25">
      <c r="A74" s="87"/>
      <c r="B74" s="11"/>
      <c r="C74" s="11"/>
      <c r="D74" s="11"/>
      <c r="E74" s="62"/>
      <c r="F74" s="66"/>
      <c r="G74" s="24"/>
      <c r="H74" s="25"/>
      <c r="I74" s="45"/>
      <c r="J74" s="26"/>
      <c r="K74" s="67"/>
      <c r="L74" s="65"/>
      <c r="M74" s="43"/>
      <c r="N74" s="48"/>
      <c r="O74" s="48"/>
      <c r="P74" s="48"/>
      <c r="Q74" s="48"/>
      <c r="R74" s="48"/>
      <c r="S74" s="48"/>
      <c r="T74" s="48"/>
      <c r="U74" s="48"/>
      <c r="V74" s="53"/>
      <c r="W74" s="26"/>
      <c r="X74" s="26"/>
      <c r="Y74" s="54"/>
      <c r="Z74" s="53"/>
      <c r="AA74" s="26"/>
      <c r="AB74" s="22"/>
      <c r="AC74" s="22"/>
      <c r="AD74" s="26"/>
      <c r="AE74" s="26"/>
      <c r="AF74" s="26"/>
      <c r="AG74" s="26"/>
      <c r="AH74" s="26"/>
      <c r="AI74" s="54"/>
    </row>
    <row r="75" spans="1:35" s="14" customFormat="1" ht="16.350000000000001" customHeight="1" x14ac:dyDescent="0.25">
      <c r="A75" s="87"/>
      <c r="B75" s="11"/>
      <c r="C75" s="11"/>
      <c r="D75" s="11"/>
      <c r="E75" s="62"/>
      <c r="F75" s="66"/>
      <c r="G75" s="24"/>
      <c r="H75" s="25"/>
      <c r="I75" s="45"/>
      <c r="J75" s="26"/>
      <c r="K75" s="67"/>
      <c r="L75" s="65"/>
      <c r="M75" s="43"/>
      <c r="N75" s="48"/>
      <c r="O75" s="48"/>
      <c r="P75" s="48"/>
      <c r="Q75" s="48"/>
      <c r="R75" s="48"/>
      <c r="S75" s="48"/>
      <c r="T75" s="48"/>
      <c r="U75" s="48"/>
      <c r="V75" s="53"/>
      <c r="W75" s="26"/>
      <c r="X75" s="26"/>
      <c r="Y75" s="54"/>
      <c r="Z75" s="53"/>
      <c r="AA75" s="26"/>
      <c r="AB75" s="22"/>
      <c r="AC75" s="22"/>
      <c r="AD75" s="26"/>
      <c r="AE75" s="26"/>
      <c r="AF75" s="26"/>
      <c r="AG75" s="26"/>
      <c r="AH75" s="26"/>
      <c r="AI75" s="54"/>
    </row>
    <row r="76" spans="1:35" s="14" customFormat="1" ht="16.350000000000001" customHeight="1" x14ac:dyDescent="0.25">
      <c r="A76" s="87"/>
      <c r="B76" s="11"/>
      <c r="C76" s="11"/>
      <c r="D76" s="11"/>
      <c r="E76" s="62"/>
      <c r="F76" s="66"/>
      <c r="G76" s="24"/>
      <c r="H76" s="25"/>
      <c r="I76" s="45"/>
      <c r="J76" s="26"/>
      <c r="K76" s="67"/>
      <c r="L76" s="65"/>
      <c r="M76" s="43"/>
      <c r="N76" s="48"/>
      <c r="O76" s="48"/>
      <c r="P76" s="48"/>
      <c r="Q76" s="48"/>
      <c r="R76" s="48"/>
      <c r="S76" s="48"/>
      <c r="T76" s="48"/>
      <c r="U76" s="48"/>
      <c r="V76" s="53"/>
      <c r="W76" s="26"/>
      <c r="X76" s="26"/>
      <c r="Y76" s="54"/>
      <c r="Z76" s="53"/>
      <c r="AA76" s="26"/>
      <c r="AB76" s="22"/>
      <c r="AC76" s="22"/>
      <c r="AD76" s="26"/>
      <c r="AE76" s="26"/>
      <c r="AF76" s="26"/>
      <c r="AG76" s="26"/>
      <c r="AH76" s="26"/>
      <c r="AI76" s="54"/>
    </row>
    <row r="77" spans="1:35" s="14" customFormat="1" ht="16.350000000000001" customHeight="1" x14ac:dyDescent="0.25">
      <c r="A77" s="87"/>
      <c r="B77" s="11"/>
      <c r="C77" s="11"/>
      <c r="D77" s="11"/>
      <c r="E77" s="62"/>
      <c r="F77" s="66"/>
      <c r="G77" s="24"/>
      <c r="H77" s="25"/>
      <c r="I77" s="45"/>
      <c r="J77" s="26"/>
      <c r="K77" s="67"/>
      <c r="L77" s="65"/>
      <c r="M77" s="43"/>
      <c r="N77" s="48"/>
      <c r="O77" s="48"/>
      <c r="P77" s="48"/>
      <c r="Q77" s="48"/>
      <c r="R77" s="48"/>
      <c r="S77" s="48"/>
      <c r="T77" s="48"/>
      <c r="U77" s="48"/>
      <c r="V77" s="53"/>
      <c r="W77" s="26"/>
      <c r="X77" s="26"/>
      <c r="Y77" s="54"/>
      <c r="Z77" s="53"/>
      <c r="AA77" s="26"/>
      <c r="AB77" s="22"/>
      <c r="AC77" s="22"/>
      <c r="AD77" s="26"/>
      <c r="AE77" s="26"/>
      <c r="AF77" s="26"/>
      <c r="AG77" s="26"/>
      <c r="AH77" s="26"/>
      <c r="AI77" s="54"/>
    </row>
    <row r="78" spans="1:35" s="14" customFormat="1" ht="16.350000000000001" customHeight="1" x14ac:dyDescent="0.25">
      <c r="A78" s="87"/>
      <c r="B78" s="11"/>
      <c r="C78" s="11"/>
      <c r="D78" s="11"/>
      <c r="E78" s="62"/>
      <c r="F78" s="66"/>
      <c r="G78" s="24"/>
      <c r="H78" s="25"/>
      <c r="I78" s="45"/>
      <c r="J78" s="26"/>
      <c r="K78" s="67"/>
      <c r="L78" s="65"/>
      <c r="M78" s="43"/>
      <c r="N78" s="48"/>
      <c r="O78" s="48"/>
      <c r="P78" s="48"/>
      <c r="Q78" s="48"/>
      <c r="R78" s="48"/>
      <c r="S78" s="48"/>
      <c r="T78" s="48"/>
      <c r="U78" s="48"/>
      <c r="V78" s="53"/>
      <c r="W78" s="26"/>
      <c r="X78" s="26"/>
      <c r="Y78" s="54"/>
      <c r="Z78" s="53"/>
      <c r="AA78" s="26"/>
      <c r="AB78" s="22"/>
      <c r="AC78" s="22"/>
      <c r="AD78" s="26"/>
      <c r="AE78" s="26"/>
      <c r="AF78" s="26"/>
      <c r="AG78" s="26"/>
      <c r="AH78" s="26"/>
      <c r="AI78" s="54"/>
    </row>
    <row r="79" spans="1:35" s="14" customFormat="1" ht="16.350000000000001" customHeight="1" x14ac:dyDescent="0.25">
      <c r="A79" s="87"/>
      <c r="B79" s="11"/>
      <c r="C79" s="11"/>
      <c r="D79" s="11"/>
      <c r="E79" s="62"/>
      <c r="F79" s="66"/>
      <c r="G79" s="24"/>
      <c r="H79" s="25"/>
      <c r="I79" s="45"/>
      <c r="J79" s="26"/>
      <c r="K79" s="67"/>
      <c r="L79" s="65"/>
      <c r="M79" s="43"/>
      <c r="N79" s="48"/>
      <c r="O79" s="48"/>
      <c r="P79" s="48"/>
      <c r="Q79" s="48"/>
      <c r="R79" s="48"/>
      <c r="S79" s="48"/>
      <c r="T79" s="48"/>
      <c r="U79" s="48"/>
      <c r="V79" s="53"/>
      <c r="W79" s="26"/>
      <c r="X79" s="26"/>
      <c r="Y79" s="54"/>
      <c r="Z79" s="53"/>
      <c r="AA79" s="26"/>
      <c r="AB79" s="22"/>
      <c r="AC79" s="22"/>
      <c r="AD79" s="26"/>
      <c r="AE79" s="26"/>
      <c r="AF79" s="26"/>
      <c r="AG79" s="26"/>
      <c r="AH79" s="26"/>
      <c r="AI79" s="54"/>
    </row>
    <row r="80" spans="1:35" s="14" customFormat="1" ht="16.350000000000001" customHeight="1" x14ac:dyDescent="0.25">
      <c r="A80" s="87"/>
      <c r="B80" s="11"/>
      <c r="C80" s="11"/>
      <c r="D80" s="11"/>
      <c r="E80" s="62"/>
      <c r="F80" s="66"/>
      <c r="G80" s="24"/>
      <c r="H80" s="25"/>
      <c r="I80" s="45"/>
      <c r="J80" s="26"/>
      <c r="K80" s="67"/>
      <c r="L80" s="65"/>
      <c r="M80" s="43"/>
      <c r="N80" s="48"/>
      <c r="O80" s="48"/>
      <c r="P80" s="48"/>
      <c r="Q80" s="48"/>
      <c r="R80" s="48"/>
      <c r="S80" s="48"/>
      <c r="T80" s="48"/>
      <c r="U80" s="48"/>
      <c r="V80" s="53"/>
      <c r="W80" s="26"/>
      <c r="X80" s="26"/>
      <c r="Y80" s="54"/>
      <c r="Z80" s="53"/>
      <c r="AA80" s="26"/>
      <c r="AB80" s="22"/>
      <c r="AC80" s="22"/>
      <c r="AD80" s="26"/>
      <c r="AE80" s="26"/>
      <c r="AF80" s="26"/>
      <c r="AG80" s="26"/>
      <c r="AH80" s="26"/>
      <c r="AI80" s="54"/>
    </row>
    <row r="81" spans="1:35" s="14" customFormat="1" ht="16.350000000000001" customHeight="1" x14ac:dyDescent="0.25">
      <c r="A81" s="87"/>
      <c r="B81" s="11"/>
      <c r="C81" s="11"/>
      <c r="D81" s="11"/>
      <c r="E81" s="62"/>
      <c r="F81" s="66"/>
      <c r="G81" s="24"/>
      <c r="H81" s="25"/>
      <c r="I81" s="45"/>
      <c r="J81" s="26"/>
      <c r="K81" s="67"/>
      <c r="L81" s="65"/>
      <c r="M81" s="43"/>
      <c r="N81" s="48"/>
      <c r="O81" s="48"/>
      <c r="P81" s="48"/>
      <c r="Q81" s="48"/>
      <c r="R81" s="48"/>
      <c r="S81" s="48"/>
      <c r="T81" s="48"/>
      <c r="U81" s="48"/>
      <c r="V81" s="53"/>
      <c r="W81" s="26"/>
      <c r="X81" s="26"/>
      <c r="Y81" s="54"/>
      <c r="Z81" s="53"/>
      <c r="AA81" s="26"/>
      <c r="AB81" s="22"/>
      <c r="AC81" s="22"/>
      <c r="AD81" s="26"/>
      <c r="AE81" s="26"/>
      <c r="AF81" s="26"/>
      <c r="AG81" s="26"/>
      <c r="AH81" s="26"/>
      <c r="AI81" s="54"/>
    </row>
    <row r="82" spans="1:35" s="14" customFormat="1" ht="16.350000000000001" customHeight="1" x14ac:dyDescent="0.25">
      <c r="A82" s="87"/>
      <c r="B82" s="11"/>
      <c r="C82" s="11"/>
      <c r="D82" s="11"/>
      <c r="E82" s="62"/>
      <c r="F82" s="66"/>
      <c r="G82" s="24"/>
      <c r="H82" s="25"/>
      <c r="I82" s="45"/>
      <c r="J82" s="26"/>
      <c r="K82" s="67"/>
      <c r="L82" s="65"/>
      <c r="M82" s="43"/>
      <c r="N82" s="48"/>
      <c r="O82" s="48"/>
      <c r="P82" s="48"/>
      <c r="Q82" s="48"/>
      <c r="R82" s="48"/>
      <c r="S82" s="48"/>
      <c r="T82" s="48"/>
      <c r="U82" s="48"/>
      <c r="V82" s="53"/>
      <c r="W82" s="26"/>
      <c r="X82" s="26"/>
      <c r="Y82" s="54"/>
      <c r="Z82" s="53"/>
      <c r="AA82" s="26"/>
      <c r="AB82" s="22"/>
      <c r="AC82" s="22"/>
      <c r="AD82" s="26"/>
      <c r="AE82" s="26"/>
      <c r="AF82" s="26"/>
      <c r="AG82" s="26"/>
      <c r="AH82" s="26"/>
      <c r="AI82" s="54"/>
    </row>
    <row r="83" spans="1:35" s="14" customFormat="1" ht="16.350000000000001" customHeight="1" x14ac:dyDescent="0.25">
      <c r="A83" s="87"/>
      <c r="B83" s="11"/>
      <c r="C83" s="11"/>
      <c r="D83" s="11"/>
      <c r="E83" s="62"/>
      <c r="F83" s="66"/>
      <c r="G83" s="24"/>
      <c r="H83" s="25"/>
      <c r="I83" s="45"/>
      <c r="J83" s="26"/>
      <c r="K83" s="67"/>
      <c r="L83" s="65"/>
      <c r="M83" s="43"/>
      <c r="N83" s="48"/>
      <c r="O83" s="48"/>
      <c r="P83" s="48"/>
      <c r="Q83" s="48"/>
      <c r="R83" s="48"/>
      <c r="S83" s="48"/>
      <c r="T83" s="48"/>
      <c r="U83" s="48"/>
      <c r="V83" s="53"/>
      <c r="W83" s="26"/>
      <c r="X83" s="26"/>
      <c r="Y83" s="54"/>
      <c r="Z83" s="53"/>
      <c r="AA83" s="26"/>
      <c r="AB83" s="22"/>
      <c r="AC83" s="22"/>
      <c r="AD83" s="26"/>
      <c r="AE83" s="26"/>
      <c r="AF83" s="26"/>
      <c r="AG83" s="26"/>
      <c r="AH83" s="26"/>
      <c r="AI83" s="54"/>
    </row>
    <row r="84" spans="1:35" s="14" customFormat="1" ht="16.350000000000001" customHeight="1" x14ac:dyDescent="0.25">
      <c r="A84" s="87"/>
      <c r="B84" s="11"/>
      <c r="C84" s="11"/>
      <c r="D84" s="11"/>
      <c r="E84" s="62"/>
      <c r="F84" s="66"/>
      <c r="G84" s="24"/>
      <c r="H84" s="25"/>
      <c r="I84" s="45"/>
      <c r="J84" s="26"/>
      <c r="K84" s="67"/>
      <c r="L84" s="65"/>
      <c r="M84" s="43"/>
      <c r="N84" s="48"/>
      <c r="O84" s="48"/>
      <c r="P84" s="48"/>
      <c r="Q84" s="48"/>
      <c r="R84" s="48"/>
      <c r="S84" s="48"/>
      <c r="T84" s="48"/>
      <c r="U84" s="48"/>
      <c r="V84" s="53"/>
      <c r="W84" s="26"/>
      <c r="X84" s="26"/>
      <c r="Y84" s="54"/>
      <c r="Z84" s="53"/>
      <c r="AA84" s="26"/>
      <c r="AB84" s="22"/>
      <c r="AC84" s="22"/>
      <c r="AD84" s="26"/>
      <c r="AE84" s="26"/>
      <c r="AF84" s="26"/>
      <c r="AG84" s="26"/>
      <c r="AH84" s="26"/>
      <c r="AI84" s="54"/>
    </row>
    <row r="85" spans="1:35" s="14" customFormat="1" ht="16.350000000000001" customHeight="1" x14ac:dyDescent="0.25">
      <c r="A85" s="87"/>
      <c r="B85" s="11"/>
      <c r="C85" s="11"/>
      <c r="D85" s="11"/>
      <c r="E85" s="62"/>
      <c r="F85" s="66"/>
      <c r="G85" s="24"/>
      <c r="H85" s="25"/>
      <c r="I85" s="45"/>
      <c r="J85" s="26"/>
      <c r="K85" s="67"/>
      <c r="L85" s="65"/>
      <c r="M85" s="43"/>
      <c r="N85" s="48"/>
      <c r="O85" s="48"/>
      <c r="P85" s="48"/>
      <c r="Q85" s="48"/>
      <c r="R85" s="48"/>
      <c r="S85" s="48"/>
      <c r="T85" s="48"/>
      <c r="U85" s="48"/>
      <c r="V85" s="53"/>
      <c r="W85" s="26"/>
      <c r="X85" s="26"/>
      <c r="Y85" s="54"/>
      <c r="Z85" s="53"/>
      <c r="AA85" s="26"/>
      <c r="AB85" s="22"/>
      <c r="AC85" s="22"/>
      <c r="AD85" s="26"/>
      <c r="AE85" s="26"/>
      <c r="AF85" s="26"/>
      <c r="AG85" s="26"/>
      <c r="AH85" s="26"/>
      <c r="AI85" s="54"/>
    </row>
    <row r="86" spans="1:35" s="14" customFormat="1" ht="16.350000000000001" customHeight="1" x14ac:dyDescent="0.25">
      <c r="A86" s="87"/>
      <c r="B86" s="11"/>
      <c r="C86" s="11"/>
      <c r="D86" s="11"/>
      <c r="E86" s="62"/>
      <c r="F86" s="66"/>
      <c r="G86" s="24"/>
      <c r="H86" s="25"/>
      <c r="I86" s="45"/>
      <c r="J86" s="26"/>
      <c r="K86" s="67"/>
      <c r="L86" s="65"/>
      <c r="M86" s="43"/>
      <c r="N86" s="48"/>
      <c r="O86" s="48"/>
      <c r="P86" s="48"/>
      <c r="Q86" s="48"/>
      <c r="R86" s="48"/>
      <c r="S86" s="48"/>
      <c r="T86" s="48"/>
      <c r="U86" s="48"/>
      <c r="V86" s="53"/>
      <c r="W86" s="26"/>
      <c r="X86" s="26"/>
      <c r="Y86" s="54"/>
      <c r="Z86" s="53"/>
      <c r="AA86" s="26"/>
      <c r="AB86" s="22"/>
      <c r="AC86" s="22"/>
      <c r="AD86" s="26"/>
      <c r="AE86" s="26"/>
      <c r="AF86" s="26"/>
      <c r="AG86" s="26"/>
      <c r="AH86" s="26"/>
      <c r="AI86" s="54"/>
    </row>
    <row r="87" spans="1:35" s="14" customFormat="1" ht="16.350000000000001" customHeight="1" x14ac:dyDescent="0.25">
      <c r="A87" s="87"/>
      <c r="B87" s="11"/>
      <c r="C87" s="11"/>
      <c r="D87" s="11"/>
      <c r="E87" s="62"/>
      <c r="F87" s="66"/>
      <c r="G87" s="24"/>
      <c r="H87" s="25"/>
      <c r="I87" s="45"/>
      <c r="J87" s="26"/>
      <c r="K87" s="67"/>
      <c r="L87" s="65"/>
      <c r="M87" s="43"/>
      <c r="N87" s="48"/>
      <c r="O87" s="48"/>
      <c r="P87" s="48"/>
      <c r="Q87" s="48"/>
      <c r="R87" s="48"/>
      <c r="S87" s="48"/>
      <c r="T87" s="48"/>
      <c r="U87" s="48"/>
      <c r="V87" s="53"/>
      <c r="W87" s="26"/>
      <c r="X87" s="26"/>
      <c r="Y87" s="54"/>
      <c r="Z87" s="53"/>
      <c r="AA87" s="26"/>
      <c r="AB87" s="22"/>
      <c r="AC87" s="22"/>
      <c r="AD87" s="26"/>
      <c r="AE87" s="26"/>
      <c r="AF87" s="26"/>
      <c r="AG87" s="26"/>
      <c r="AH87" s="26"/>
      <c r="AI87" s="54"/>
    </row>
    <row r="88" spans="1:35" s="14" customFormat="1" ht="16.350000000000001" customHeight="1" x14ac:dyDescent="0.25">
      <c r="A88" s="87"/>
      <c r="B88" s="11"/>
      <c r="C88" s="11"/>
      <c r="D88" s="11"/>
      <c r="E88" s="62"/>
      <c r="F88" s="66"/>
      <c r="G88" s="24"/>
      <c r="H88" s="25"/>
      <c r="I88" s="45"/>
      <c r="J88" s="26"/>
      <c r="K88" s="67"/>
      <c r="L88" s="65"/>
      <c r="M88" s="43"/>
      <c r="N88" s="48"/>
      <c r="O88" s="48"/>
      <c r="P88" s="48"/>
      <c r="Q88" s="48"/>
      <c r="R88" s="48"/>
      <c r="S88" s="48"/>
      <c r="T88" s="48"/>
      <c r="U88" s="48"/>
      <c r="V88" s="53"/>
      <c r="W88" s="26"/>
      <c r="X88" s="26"/>
      <c r="Y88" s="54"/>
      <c r="Z88" s="53"/>
      <c r="AA88" s="26"/>
      <c r="AB88" s="22"/>
      <c r="AC88" s="22"/>
      <c r="AD88" s="26"/>
      <c r="AE88" s="26"/>
      <c r="AF88" s="26"/>
      <c r="AG88" s="26"/>
      <c r="AH88" s="26"/>
      <c r="AI88" s="54"/>
    </row>
    <row r="89" spans="1:35" s="14" customFormat="1" ht="16.350000000000001" customHeight="1" x14ac:dyDescent="0.25">
      <c r="A89" s="92"/>
      <c r="B89" s="12"/>
      <c r="C89" s="12"/>
      <c r="D89" s="12"/>
      <c r="E89" s="63"/>
      <c r="F89" s="66"/>
      <c r="G89" s="24"/>
      <c r="H89" s="17"/>
      <c r="I89" s="45"/>
      <c r="J89" s="26"/>
      <c r="K89" s="67"/>
      <c r="L89" s="65"/>
      <c r="M89" s="43"/>
      <c r="N89" s="48"/>
      <c r="O89" s="48"/>
      <c r="P89" s="48"/>
      <c r="Q89" s="48"/>
      <c r="R89" s="48"/>
      <c r="S89" s="48"/>
      <c r="T89" s="48"/>
      <c r="U89" s="48"/>
      <c r="V89" s="53"/>
      <c r="W89" s="26"/>
      <c r="X89" s="26"/>
      <c r="Y89" s="54"/>
      <c r="Z89" s="53"/>
      <c r="AA89" s="26"/>
      <c r="AB89" s="22"/>
      <c r="AC89" s="22"/>
      <c r="AD89" s="26"/>
      <c r="AE89" s="26"/>
      <c r="AF89" s="26"/>
      <c r="AG89" s="26"/>
      <c r="AH89" s="26"/>
      <c r="AI89" s="54"/>
    </row>
    <row r="90" spans="1:35" s="14" customFormat="1" ht="16.350000000000001" customHeight="1" x14ac:dyDescent="0.25">
      <c r="A90" s="87"/>
      <c r="B90" s="11"/>
      <c r="C90" s="11"/>
      <c r="D90" s="11"/>
      <c r="E90" s="62"/>
      <c r="F90" s="66"/>
      <c r="G90" s="24"/>
      <c r="H90" s="25"/>
      <c r="I90" s="45"/>
      <c r="J90" s="26"/>
      <c r="K90" s="67"/>
      <c r="L90" s="65"/>
      <c r="M90" s="43"/>
      <c r="N90" s="48"/>
      <c r="O90" s="48"/>
      <c r="P90" s="48"/>
      <c r="Q90" s="48"/>
      <c r="R90" s="48"/>
      <c r="S90" s="48"/>
      <c r="T90" s="48"/>
      <c r="U90" s="48"/>
      <c r="V90" s="53"/>
      <c r="W90" s="26"/>
      <c r="X90" s="26"/>
      <c r="Y90" s="54"/>
      <c r="Z90" s="53"/>
      <c r="AA90" s="26"/>
      <c r="AB90" s="22"/>
      <c r="AC90" s="22"/>
      <c r="AD90" s="26"/>
      <c r="AE90" s="26"/>
      <c r="AF90" s="26"/>
      <c r="AG90" s="26"/>
      <c r="AH90" s="26"/>
      <c r="AI90" s="54"/>
    </row>
    <row r="91" spans="1:35" s="14" customFormat="1" ht="16.350000000000001" customHeight="1" x14ac:dyDescent="0.25">
      <c r="A91" s="87"/>
      <c r="B91" s="11"/>
      <c r="C91" s="11"/>
      <c r="D91" s="11"/>
      <c r="E91" s="62"/>
      <c r="F91" s="66"/>
      <c r="G91" s="24"/>
      <c r="H91" s="25"/>
      <c r="I91" s="45"/>
      <c r="J91" s="26"/>
      <c r="K91" s="67"/>
      <c r="L91" s="65"/>
      <c r="M91" s="43"/>
      <c r="N91" s="48"/>
      <c r="O91" s="48"/>
      <c r="P91" s="48"/>
      <c r="Q91" s="48"/>
      <c r="R91" s="48"/>
      <c r="S91" s="48"/>
      <c r="T91" s="48"/>
      <c r="U91" s="48"/>
      <c r="V91" s="53"/>
      <c r="W91" s="26"/>
      <c r="X91" s="26"/>
      <c r="Y91" s="54"/>
      <c r="Z91" s="53"/>
      <c r="AA91" s="26"/>
      <c r="AB91" s="22"/>
      <c r="AC91" s="22"/>
      <c r="AD91" s="26"/>
      <c r="AE91" s="26"/>
      <c r="AF91" s="26"/>
      <c r="AG91" s="26"/>
      <c r="AH91" s="26"/>
      <c r="AI91" s="54"/>
    </row>
    <row r="92" spans="1:35" s="14" customFormat="1" ht="16.350000000000001" customHeight="1" x14ac:dyDescent="0.25">
      <c r="A92" s="87"/>
      <c r="B92" s="11"/>
      <c r="C92" s="11"/>
      <c r="D92" s="11"/>
      <c r="E92" s="62"/>
      <c r="F92" s="66"/>
      <c r="G92" s="24"/>
      <c r="H92" s="25"/>
      <c r="I92" s="45"/>
      <c r="J92" s="26"/>
      <c r="K92" s="67"/>
      <c r="L92" s="65"/>
      <c r="M92" s="43"/>
      <c r="N92" s="48"/>
      <c r="O92" s="48"/>
      <c r="P92" s="48"/>
      <c r="Q92" s="48"/>
      <c r="R92" s="48"/>
      <c r="S92" s="48"/>
      <c r="T92" s="48"/>
      <c r="U92" s="48"/>
      <c r="V92" s="53"/>
      <c r="W92" s="26"/>
      <c r="X92" s="26"/>
      <c r="Y92" s="54"/>
      <c r="Z92" s="53"/>
      <c r="AA92" s="26"/>
      <c r="AB92" s="22"/>
      <c r="AC92" s="22"/>
      <c r="AD92" s="26"/>
      <c r="AE92" s="26"/>
      <c r="AF92" s="26"/>
      <c r="AG92" s="26"/>
      <c r="AH92" s="26"/>
      <c r="AI92" s="54"/>
    </row>
    <row r="93" spans="1:35" s="14" customFormat="1" ht="16.350000000000001" customHeight="1" x14ac:dyDescent="0.25">
      <c r="A93" s="87"/>
      <c r="B93" s="11"/>
      <c r="C93" s="11"/>
      <c r="D93" s="11"/>
      <c r="E93" s="62"/>
      <c r="F93" s="66"/>
      <c r="G93" s="24"/>
      <c r="H93" s="25"/>
      <c r="I93" s="45"/>
      <c r="J93" s="26"/>
      <c r="K93" s="67"/>
      <c r="L93" s="65"/>
      <c r="M93" s="43"/>
      <c r="N93" s="48"/>
      <c r="O93" s="48"/>
      <c r="P93" s="48"/>
      <c r="Q93" s="48"/>
      <c r="R93" s="48"/>
      <c r="S93" s="48"/>
      <c r="T93" s="48"/>
      <c r="U93" s="48"/>
      <c r="V93" s="53"/>
      <c r="W93" s="26"/>
      <c r="X93" s="26"/>
      <c r="Y93" s="54"/>
      <c r="Z93" s="53"/>
      <c r="AA93" s="26"/>
      <c r="AB93" s="22"/>
      <c r="AC93" s="22"/>
      <c r="AD93" s="26"/>
      <c r="AE93" s="26"/>
      <c r="AF93" s="26"/>
      <c r="AG93" s="26"/>
      <c r="AH93" s="26"/>
      <c r="AI93" s="54"/>
    </row>
    <row r="94" spans="1:35" s="14" customFormat="1" ht="16.350000000000001" customHeight="1" x14ac:dyDescent="0.25">
      <c r="A94" s="87"/>
      <c r="B94" s="11"/>
      <c r="C94" s="11"/>
      <c r="D94" s="11"/>
      <c r="E94" s="62"/>
      <c r="F94" s="66"/>
      <c r="G94" s="24"/>
      <c r="H94" s="25"/>
      <c r="I94" s="45"/>
      <c r="J94" s="26"/>
      <c r="K94" s="67"/>
      <c r="L94" s="65"/>
      <c r="M94" s="43"/>
      <c r="N94" s="48"/>
      <c r="O94" s="48"/>
      <c r="P94" s="48"/>
      <c r="Q94" s="48"/>
      <c r="R94" s="48"/>
      <c r="S94" s="48"/>
      <c r="T94" s="48"/>
      <c r="U94" s="48"/>
      <c r="V94" s="53"/>
      <c r="W94" s="26"/>
      <c r="X94" s="26"/>
      <c r="Y94" s="54"/>
      <c r="Z94" s="53"/>
      <c r="AA94" s="26"/>
      <c r="AB94" s="22"/>
      <c r="AC94" s="22"/>
      <c r="AD94" s="26"/>
      <c r="AE94" s="26"/>
      <c r="AF94" s="26"/>
      <c r="AG94" s="26"/>
      <c r="AH94" s="26"/>
      <c r="AI94" s="54"/>
    </row>
    <row r="95" spans="1:35" s="14" customFormat="1" ht="16.350000000000001" customHeight="1" x14ac:dyDescent="0.25">
      <c r="A95" s="87"/>
      <c r="B95" s="11"/>
      <c r="C95" s="11"/>
      <c r="D95" s="11"/>
      <c r="E95" s="62"/>
      <c r="F95" s="66"/>
      <c r="G95" s="24"/>
      <c r="H95" s="25"/>
      <c r="I95" s="45"/>
      <c r="J95" s="26"/>
      <c r="K95" s="67"/>
      <c r="L95" s="65"/>
      <c r="M95" s="43"/>
      <c r="N95" s="48"/>
      <c r="O95" s="48"/>
      <c r="P95" s="48"/>
      <c r="Q95" s="48"/>
      <c r="R95" s="48"/>
      <c r="S95" s="48"/>
      <c r="T95" s="48"/>
      <c r="U95" s="48"/>
      <c r="V95" s="53"/>
      <c r="W95" s="26"/>
      <c r="X95" s="26"/>
      <c r="Y95" s="54"/>
      <c r="Z95" s="53"/>
      <c r="AA95" s="26"/>
      <c r="AB95" s="22"/>
      <c r="AC95" s="22"/>
      <c r="AD95" s="26"/>
      <c r="AE95" s="26"/>
      <c r="AF95" s="26"/>
      <c r="AG95" s="26"/>
      <c r="AH95" s="26"/>
      <c r="AI95" s="54"/>
    </row>
    <row r="96" spans="1:35" s="14" customFormat="1" ht="16.350000000000001" customHeight="1" x14ac:dyDescent="0.25">
      <c r="A96" s="87"/>
      <c r="B96" s="11"/>
      <c r="C96" s="11"/>
      <c r="D96" s="11"/>
      <c r="E96" s="62"/>
      <c r="F96" s="66"/>
      <c r="G96" s="24"/>
      <c r="H96" s="25"/>
      <c r="I96" s="45"/>
      <c r="J96" s="26"/>
      <c r="K96" s="67"/>
      <c r="L96" s="65"/>
      <c r="M96" s="43"/>
      <c r="N96" s="48"/>
      <c r="O96" s="48"/>
      <c r="P96" s="48"/>
      <c r="Q96" s="48"/>
      <c r="R96" s="48"/>
      <c r="S96" s="48"/>
      <c r="T96" s="48"/>
      <c r="U96" s="48"/>
      <c r="V96" s="53"/>
      <c r="W96" s="26"/>
      <c r="X96" s="26"/>
      <c r="Y96" s="54"/>
      <c r="Z96" s="53"/>
      <c r="AA96" s="26"/>
      <c r="AB96" s="22"/>
      <c r="AC96" s="22"/>
      <c r="AD96" s="26"/>
      <c r="AE96" s="26"/>
      <c r="AF96" s="26"/>
      <c r="AG96" s="26"/>
      <c r="AH96" s="26"/>
      <c r="AI96" s="54"/>
    </row>
    <row r="97" spans="1:35" s="14" customFormat="1" ht="16.350000000000001" customHeight="1" x14ac:dyDescent="0.25">
      <c r="A97" s="87"/>
      <c r="B97" s="11"/>
      <c r="C97" s="11"/>
      <c r="D97" s="11"/>
      <c r="E97" s="62"/>
      <c r="F97" s="66"/>
      <c r="G97" s="24"/>
      <c r="H97" s="25"/>
      <c r="I97" s="45"/>
      <c r="J97" s="26"/>
      <c r="K97" s="67"/>
      <c r="L97" s="65"/>
      <c r="M97" s="43"/>
      <c r="N97" s="48"/>
      <c r="O97" s="48"/>
      <c r="P97" s="48"/>
      <c r="Q97" s="48"/>
      <c r="R97" s="48"/>
      <c r="S97" s="48"/>
      <c r="T97" s="48"/>
      <c r="U97" s="48"/>
      <c r="V97" s="53"/>
      <c r="W97" s="26"/>
      <c r="X97" s="26"/>
      <c r="Y97" s="54"/>
      <c r="Z97" s="53"/>
      <c r="AA97" s="26"/>
      <c r="AB97" s="22"/>
      <c r="AC97" s="22"/>
      <c r="AD97" s="26"/>
      <c r="AE97" s="26"/>
      <c r="AF97" s="26"/>
      <c r="AG97" s="26"/>
      <c r="AH97" s="26"/>
      <c r="AI97" s="54"/>
    </row>
    <row r="98" spans="1:35" s="14" customFormat="1" ht="16.350000000000001" customHeight="1" x14ac:dyDescent="0.25">
      <c r="A98" s="87"/>
      <c r="B98" s="11"/>
      <c r="C98" s="11"/>
      <c r="D98" s="11"/>
      <c r="E98" s="62"/>
      <c r="F98" s="66"/>
      <c r="G98" s="24"/>
      <c r="H98" s="25"/>
      <c r="I98" s="45"/>
      <c r="J98" s="26"/>
      <c r="K98" s="67"/>
      <c r="L98" s="65"/>
      <c r="M98" s="43"/>
      <c r="N98" s="48"/>
      <c r="O98" s="48"/>
      <c r="P98" s="48"/>
      <c r="Q98" s="48"/>
      <c r="R98" s="48"/>
      <c r="S98" s="48"/>
      <c r="T98" s="48"/>
      <c r="U98" s="48"/>
      <c r="V98" s="53"/>
      <c r="W98" s="26"/>
      <c r="X98" s="26"/>
      <c r="Y98" s="54"/>
      <c r="Z98" s="53"/>
      <c r="AA98" s="26"/>
      <c r="AB98" s="22"/>
      <c r="AC98" s="22"/>
      <c r="AD98" s="26"/>
      <c r="AE98" s="26"/>
      <c r="AF98" s="26"/>
      <c r="AG98" s="26"/>
      <c r="AH98" s="26"/>
      <c r="AI98" s="54"/>
    </row>
    <row r="99" spans="1:35" s="14" customFormat="1" ht="16.350000000000001" customHeight="1" x14ac:dyDescent="0.25">
      <c r="A99" s="87"/>
      <c r="B99" s="11"/>
      <c r="C99" s="11"/>
      <c r="D99" s="11"/>
      <c r="E99" s="62"/>
      <c r="F99" s="66"/>
      <c r="G99" s="24"/>
      <c r="H99" s="25"/>
      <c r="I99" s="45"/>
      <c r="J99" s="26"/>
      <c r="K99" s="67"/>
      <c r="L99" s="65"/>
      <c r="M99" s="43"/>
      <c r="N99" s="48"/>
      <c r="O99" s="48"/>
      <c r="P99" s="48"/>
      <c r="Q99" s="48"/>
      <c r="R99" s="48"/>
      <c r="S99" s="48"/>
      <c r="T99" s="48"/>
      <c r="U99" s="48"/>
      <c r="V99" s="53"/>
      <c r="W99" s="26"/>
      <c r="X99" s="26"/>
      <c r="Y99" s="54"/>
      <c r="Z99" s="53"/>
      <c r="AA99" s="26"/>
      <c r="AB99" s="22"/>
      <c r="AC99" s="22"/>
      <c r="AD99" s="26"/>
      <c r="AE99" s="26"/>
      <c r="AF99" s="26"/>
      <c r="AG99" s="26"/>
      <c r="AH99" s="26"/>
      <c r="AI99" s="54"/>
    </row>
    <row r="100" spans="1:35" s="14" customFormat="1" ht="16.350000000000001" customHeight="1" x14ac:dyDescent="0.25">
      <c r="A100" s="87"/>
      <c r="B100" s="11"/>
      <c r="C100" s="11"/>
      <c r="D100" s="11"/>
      <c r="E100" s="62"/>
      <c r="F100" s="66"/>
      <c r="G100" s="24"/>
      <c r="H100" s="25"/>
      <c r="I100" s="45"/>
      <c r="J100" s="26"/>
      <c r="K100" s="67"/>
      <c r="L100" s="65"/>
      <c r="M100" s="43"/>
      <c r="N100" s="48"/>
      <c r="O100" s="48"/>
      <c r="P100" s="48"/>
      <c r="Q100" s="48"/>
      <c r="R100" s="48"/>
      <c r="S100" s="48"/>
      <c r="T100" s="48"/>
      <c r="U100" s="48"/>
      <c r="V100" s="53"/>
      <c r="W100" s="26"/>
      <c r="X100" s="26"/>
      <c r="Y100" s="54"/>
      <c r="Z100" s="53"/>
      <c r="AA100" s="26"/>
      <c r="AB100" s="22"/>
      <c r="AC100" s="22"/>
      <c r="AD100" s="26"/>
      <c r="AE100" s="26"/>
      <c r="AF100" s="26"/>
      <c r="AG100" s="26"/>
      <c r="AH100" s="26"/>
      <c r="AI100" s="54"/>
    </row>
    <row r="101" spans="1:35" s="14" customFormat="1" ht="16.350000000000001" customHeight="1" x14ac:dyDescent="0.25">
      <c r="A101" s="87"/>
      <c r="B101" s="11"/>
      <c r="C101" s="11"/>
      <c r="D101" s="11"/>
      <c r="E101" s="62"/>
      <c r="F101" s="66"/>
      <c r="G101" s="24"/>
      <c r="H101" s="25"/>
      <c r="I101" s="45"/>
      <c r="J101" s="26"/>
      <c r="K101" s="67"/>
      <c r="L101" s="65"/>
      <c r="M101" s="43"/>
      <c r="N101" s="48"/>
      <c r="O101" s="48"/>
      <c r="P101" s="48"/>
      <c r="Q101" s="48"/>
      <c r="R101" s="48"/>
      <c r="S101" s="48"/>
      <c r="T101" s="48"/>
      <c r="U101" s="48"/>
      <c r="V101" s="53"/>
      <c r="W101" s="26"/>
      <c r="X101" s="26"/>
      <c r="Y101" s="54"/>
      <c r="Z101" s="53" t="str">
        <f t="shared" ref="Z101:AA108" si="3">IF(COUNTIF(AB101:AI101,"x")&gt;0,"x","")</f>
        <v/>
      </c>
      <c r="AA101" s="26" t="str">
        <f t="shared" si="3"/>
        <v/>
      </c>
      <c r="AB101" s="22"/>
      <c r="AC101" s="22"/>
      <c r="AD101" s="26"/>
      <c r="AE101" s="26"/>
      <c r="AF101" s="26"/>
      <c r="AG101" s="26"/>
      <c r="AH101" s="26"/>
      <c r="AI101" s="54"/>
    </row>
    <row r="102" spans="1:35" s="14" customFormat="1" ht="16.350000000000001" customHeight="1" x14ac:dyDescent="0.25">
      <c r="A102" s="87"/>
      <c r="B102" s="11"/>
      <c r="C102" s="11"/>
      <c r="D102" s="11"/>
      <c r="E102" s="62"/>
      <c r="F102" s="66"/>
      <c r="G102" s="24"/>
      <c r="H102" s="25"/>
      <c r="I102" s="45"/>
      <c r="J102" s="26"/>
      <c r="K102" s="67"/>
      <c r="L102" s="65"/>
      <c r="M102" s="43"/>
      <c r="N102" s="48"/>
      <c r="O102" s="48"/>
      <c r="P102" s="48"/>
      <c r="Q102" s="48"/>
      <c r="R102" s="48"/>
      <c r="S102" s="48"/>
      <c r="T102" s="48"/>
      <c r="U102" s="48"/>
      <c r="V102" s="53"/>
      <c r="W102" s="26"/>
      <c r="X102" s="26"/>
      <c r="Y102" s="54"/>
      <c r="Z102" s="53" t="str">
        <f t="shared" si="3"/>
        <v/>
      </c>
      <c r="AA102" s="26" t="str">
        <f t="shared" si="3"/>
        <v/>
      </c>
      <c r="AB102" s="22"/>
      <c r="AC102" s="22"/>
      <c r="AD102" s="26"/>
      <c r="AE102" s="26"/>
      <c r="AF102" s="26"/>
      <c r="AG102" s="26"/>
      <c r="AH102" s="26"/>
      <c r="AI102" s="54"/>
    </row>
    <row r="103" spans="1:35" s="14" customFormat="1" ht="16.350000000000001" customHeight="1" x14ac:dyDescent="0.25">
      <c r="A103" s="87"/>
      <c r="B103" s="11"/>
      <c r="C103" s="11"/>
      <c r="D103" s="11"/>
      <c r="E103" s="62"/>
      <c r="F103" s="66"/>
      <c r="G103" s="24"/>
      <c r="H103" s="25"/>
      <c r="I103" s="45"/>
      <c r="J103" s="26"/>
      <c r="K103" s="67"/>
      <c r="L103" s="65"/>
      <c r="M103" s="43"/>
      <c r="N103" s="48"/>
      <c r="O103" s="48"/>
      <c r="P103" s="48"/>
      <c r="Q103" s="48"/>
      <c r="R103" s="48"/>
      <c r="S103" s="48"/>
      <c r="T103" s="48"/>
      <c r="U103" s="48"/>
      <c r="V103" s="53"/>
      <c r="W103" s="26"/>
      <c r="X103" s="26"/>
      <c r="Y103" s="54"/>
      <c r="Z103" s="53" t="str">
        <f t="shared" si="3"/>
        <v/>
      </c>
      <c r="AA103" s="26" t="str">
        <f t="shared" si="3"/>
        <v/>
      </c>
      <c r="AB103" s="22"/>
      <c r="AC103" s="22"/>
      <c r="AD103" s="26"/>
      <c r="AE103" s="26"/>
      <c r="AF103" s="26"/>
      <c r="AG103" s="26"/>
      <c r="AH103" s="26"/>
      <c r="AI103" s="54"/>
    </row>
    <row r="104" spans="1:35" s="14" customFormat="1" ht="16.350000000000001" customHeight="1" x14ac:dyDescent="0.25">
      <c r="A104" s="87"/>
      <c r="B104" s="11"/>
      <c r="C104" s="11"/>
      <c r="D104" s="11"/>
      <c r="E104" s="62"/>
      <c r="F104" s="66"/>
      <c r="G104" s="24"/>
      <c r="H104" s="25"/>
      <c r="I104" s="45"/>
      <c r="J104" s="26"/>
      <c r="K104" s="67"/>
      <c r="L104" s="65"/>
      <c r="M104" s="43"/>
      <c r="N104" s="48"/>
      <c r="O104" s="48"/>
      <c r="P104" s="48"/>
      <c r="Q104" s="48"/>
      <c r="R104" s="48"/>
      <c r="S104" s="48"/>
      <c r="T104" s="48"/>
      <c r="U104" s="48"/>
      <c r="V104" s="53"/>
      <c r="W104" s="26"/>
      <c r="X104" s="26"/>
      <c r="Y104" s="54"/>
      <c r="Z104" s="53" t="str">
        <f t="shared" si="3"/>
        <v/>
      </c>
      <c r="AA104" s="26" t="str">
        <f t="shared" si="3"/>
        <v/>
      </c>
      <c r="AB104" s="22"/>
      <c r="AC104" s="22"/>
      <c r="AD104" s="26"/>
      <c r="AE104" s="26"/>
      <c r="AF104" s="26"/>
      <c r="AG104" s="26"/>
      <c r="AH104" s="26"/>
      <c r="AI104" s="54"/>
    </row>
    <row r="105" spans="1:35" s="14" customFormat="1" ht="16.350000000000001" customHeight="1" x14ac:dyDescent="0.25">
      <c r="A105" s="87"/>
      <c r="B105" s="11"/>
      <c r="C105" s="11"/>
      <c r="D105" s="11"/>
      <c r="E105" s="62"/>
      <c r="F105" s="66"/>
      <c r="G105" s="24"/>
      <c r="H105" s="25"/>
      <c r="I105" s="45"/>
      <c r="J105" s="26"/>
      <c r="K105" s="67"/>
      <c r="L105" s="65"/>
      <c r="M105" s="43"/>
      <c r="N105" s="48"/>
      <c r="O105" s="48"/>
      <c r="P105" s="48"/>
      <c r="Q105" s="48"/>
      <c r="R105" s="48"/>
      <c r="S105" s="48"/>
      <c r="T105" s="48"/>
      <c r="U105" s="48"/>
      <c r="V105" s="53"/>
      <c r="W105" s="26"/>
      <c r="X105" s="26"/>
      <c r="Y105" s="54"/>
      <c r="Z105" s="53" t="str">
        <f t="shared" si="3"/>
        <v/>
      </c>
      <c r="AA105" s="26" t="str">
        <f t="shared" si="3"/>
        <v/>
      </c>
      <c r="AB105" s="22"/>
      <c r="AC105" s="22"/>
      <c r="AD105" s="26"/>
      <c r="AE105" s="26"/>
      <c r="AF105" s="26"/>
      <c r="AG105" s="26"/>
      <c r="AH105" s="26"/>
      <c r="AI105" s="54"/>
    </row>
    <row r="106" spans="1:35" s="14" customFormat="1" ht="16.350000000000001" customHeight="1" x14ac:dyDescent="0.25">
      <c r="A106" s="87"/>
      <c r="B106" s="11"/>
      <c r="C106" s="11"/>
      <c r="D106" s="11"/>
      <c r="E106" s="62"/>
      <c r="F106" s="66"/>
      <c r="G106" s="24"/>
      <c r="H106" s="25"/>
      <c r="I106" s="45"/>
      <c r="J106" s="26"/>
      <c r="K106" s="67"/>
      <c r="L106" s="65"/>
      <c r="M106" s="43"/>
      <c r="N106" s="48"/>
      <c r="O106" s="48"/>
      <c r="P106" s="48"/>
      <c r="Q106" s="48"/>
      <c r="R106" s="48"/>
      <c r="S106" s="48"/>
      <c r="T106" s="48"/>
      <c r="U106" s="48"/>
      <c r="V106" s="53"/>
      <c r="W106" s="26"/>
      <c r="X106" s="26"/>
      <c r="Y106" s="54"/>
      <c r="Z106" s="53" t="str">
        <f t="shared" si="3"/>
        <v/>
      </c>
      <c r="AA106" s="26" t="str">
        <f t="shared" si="3"/>
        <v/>
      </c>
      <c r="AB106" s="22"/>
      <c r="AC106" s="22"/>
      <c r="AD106" s="26"/>
      <c r="AE106" s="26"/>
      <c r="AF106" s="26"/>
      <c r="AG106" s="26"/>
      <c r="AH106" s="26"/>
      <c r="AI106" s="54"/>
    </row>
    <row r="107" spans="1:35" s="14" customFormat="1" ht="16.350000000000001" customHeight="1" x14ac:dyDescent="0.25">
      <c r="A107" s="87"/>
      <c r="B107" s="11"/>
      <c r="C107" s="11"/>
      <c r="D107" s="11"/>
      <c r="E107" s="62"/>
      <c r="F107" s="66"/>
      <c r="G107" s="24"/>
      <c r="H107" s="25"/>
      <c r="I107" s="45"/>
      <c r="J107" s="26"/>
      <c r="K107" s="67"/>
      <c r="L107" s="65"/>
      <c r="M107" s="43"/>
      <c r="N107" s="48"/>
      <c r="O107" s="48"/>
      <c r="P107" s="48"/>
      <c r="Q107" s="48"/>
      <c r="R107" s="48"/>
      <c r="S107" s="48"/>
      <c r="T107" s="48"/>
      <c r="U107" s="48"/>
      <c r="V107" s="53"/>
      <c r="W107" s="26"/>
      <c r="X107" s="26"/>
      <c r="Y107" s="54"/>
      <c r="Z107" s="53" t="str">
        <f t="shared" si="3"/>
        <v/>
      </c>
      <c r="AA107" s="26" t="str">
        <f t="shared" si="3"/>
        <v/>
      </c>
      <c r="AB107" s="22"/>
      <c r="AC107" s="22"/>
      <c r="AD107" s="26"/>
      <c r="AE107" s="26"/>
      <c r="AF107" s="26"/>
      <c r="AG107" s="26"/>
      <c r="AH107" s="26"/>
      <c r="AI107" s="54"/>
    </row>
    <row r="108" spans="1:35" s="14" customFormat="1" ht="16.350000000000001" customHeight="1" x14ac:dyDescent="0.25">
      <c r="A108" s="92"/>
      <c r="B108" s="12"/>
      <c r="C108" s="12"/>
      <c r="D108" s="12"/>
      <c r="E108" s="63"/>
      <c r="F108" s="66"/>
      <c r="G108" s="24"/>
      <c r="H108" s="17"/>
      <c r="I108" s="45"/>
      <c r="J108" s="26"/>
      <c r="K108" s="67"/>
      <c r="L108" s="65"/>
      <c r="M108" s="43"/>
      <c r="N108" s="48"/>
      <c r="O108" s="48"/>
      <c r="P108" s="48"/>
      <c r="Q108" s="48"/>
      <c r="R108" s="48"/>
      <c r="S108" s="48"/>
      <c r="T108" s="48"/>
      <c r="U108" s="48"/>
      <c r="V108" s="53"/>
      <c r="W108" s="26"/>
      <c r="X108" s="26"/>
      <c r="Y108" s="54"/>
      <c r="Z108" s="53" t="str">
        <f t="shared" si="3"/>
        <v/>
      </c>
      <c r="AA108" s="26" t="str">
        <f t="shared" si="3"/>
        <v/>
      </c>
      <c r="AB108" s="22"/>
      <c r="AC108" s="22"/>
      <c r="AD108" s="26"/>
      <c r="AE108" s="26"/>
      <c r="AF108" s="26"/>
      <c r="AG108" s="26"/>
      <c r="AH108" s="26"/>
      <c r="AI108" s="54"/>
    </row>
    <row r="109" spans="1:35" s="14" customFormat="1" ht="16.350000000000001" customHeight="1" x14ac:dyDescent="0.25">
      <c r="A109" s="87"/>
      <c r="B109" s="11"/>
      <c r="C109" s="11"/>
      <c r="D109" s="11"/>
      <c r="E109" s="62"/>
      <c r="F109" s="66"/>
      <c r="G109" s="24"/>
      <c r="H109" s="25"/>
      <c r="I109" s="45"/>
      <c r="J109" s="26"/>
      <c r="K109" s="67"/>
      <c r="L109" s="65"/>
      <c r="M109" s="43"/>
      <c r="N109" s="48"/>
      <c r="O109" s="48"/>
      <c r="P109" s="48"/>
      <c r="Q109" s="48"/>
      <c r="R109" s="48"/>
      <c r="S109" s="48"/>
      <c r="T109" s="48"/>
      <c r="U109" s="48"/>
      <c r="V109" s="53"/>
      <c r="W109" s="26"/>
      <c r="X109" s="26"/>
      <c r="Y109" s="54"/>
      <c r="Z109" s="53" t="str">
        <f t="shared" ref="Z109:AA129" si="4">IF(COUNTIF(AB109:AI109,"x")&gt;0,"x","")</f>
        <v/>
      </c>
      <c r="AA109" s="26" t="str">
        <f t="shared" si="4"/>
        <v/>
      </c>
      <c r="AB109" s="22"/>
      <c r="AC109" s="22"/>
      <c r="AD109" s="26"/>
      <c r="AE109" s="26"/>
      <c r="AF109" s="26"/>
      <c r="AG109" s="26"/>
      <c r="AH109" s="26"/>
      <c r="AI109" s="54"/>
    </row>
    <row r="110" spans="1:35" s="14" customFormat="1" ht="16.350000000000001" customHeight="1" x14ac:dyDescent="0.25">
      <c r="A110" s="87"/>
      <c r="B110" s="11"/>
      <c r="C110" s="11"/>
      <c r="D110" s="11"/>
      <c r="E110" s="62"/>
      <c r="F110" s="66"/>
      <c r="G110" s="24"/>
      <c r="H110" s="25"/>
      <c r="I110" s="45"/>
      <c r="J110" s="26"/>
      <c r="K110" s="67"/>
      <c r="L110" s="65"/>
      <c r="M110" s="43"/>
      <c r="N110" s="48"/>
      <c r="O110" s="48"/>
      <c r="P110" s="48"/>
      <c r="Q110" s="48"/>
      <c r="R110" s="48"/>
      <c r="S110" s="48"/>
      <c r="T110" s="48"/>
      <c r="U110" s="48"/>
      <c r="V110" s="53"/>
      <c r="W110" s="26"/>
      <c r="X110" s="26"/>
      <c r="Y110" s="54"/>
      <c r="Z110" s="53" t="str">
        <f t="shared" si="4"/>
        <v/>
      </c>
      <c r="AA110" s="26" t="str">
        <f t="shared" si="4"/>
        <v/>
      </c>
      <c r="AB110" s="22"/>
      <c r="AC110" s="22"/>
      <c r="AD110" s="26"/>
      <c r="AE110" s="26"/>
      <c r="AF110" s="26"/>
      <c r="AG110" s="26"/>
      <c r="AH110" s="26"/>
      <c r="AI110" s="54"/>
    </row>
    <row r="111" spans="1:35" s="14" customFormat="1" ht="16.350000000000001" customHeight="1" x14ac:dyDescent="0.25">
      <c r="A111" s="87"/>
      <c r="B111" s="11"/>
      <c r="C111" s="11"/>
      <c r="D111" s="11"/>
      <c r="E111" s="62"/>
      <c r="F111" s="66"/>
      <c r="G111" s="24"/>
      <c r="H111" s="25"/>
      <c r="I111" s="45"/>
      <c r="J111" s="26"/>
      <c r="K111" s="67"/>
      <c r="L111" s="65"/>
      <c r="M111" s="43"/>
      <c r="N111" s="48"/>
      <c r="O111" s="48"/>
      <c r="P111" s="48"/>
      <c r="Q111" s="48"/>
      <c r="R111" s="48"/>
      <c r="S111" s="48"/>
      <c r="T111" s="48"/>
      <c r="U111" s="48"/>
      <c r="V111" s="53"/>
      <c r="W111" s="26"/>
      <c r="X111" s="26"/>
      <c r="Y111" s="54"/>
      <c r="Z111" s="53" t="str">
        <f t="shared" si="4"/>
        <v/>
      </c>
      <c r="AA111" s="26" t="str">
        <f t="shared" si="4"/>
        <v/>
      </c>
      <c r="AB111" s="22"/>
      <c r="AC111" s="22"/>
      <c r="AD111" s="26"/>
      <c r="AE111" s="26"/>
      <c r="AF111" s="26"/>
      <c r="AG111" s="26"/>
      <c r="AH111" s="26"/>
      <c r="AI111" s="54"/>
    </row>
    <row r="112" spans="1:35" s="14" customFormat="1" ht="16.350000000000001" customHeight="1" x14ac:dyDescent="0.25">
      <c r="A112" s="87"/>
      <c r="B112" s="11"/>
      <c r="C112" s="11"/>
      <c r="D112" s="11"/>
      <c r="E112" s="62"/>
      <c r="F112" s="66"/>
      <c r="G112" s="24"/>
      <c r="H112" s="25"/>
      <c r="I112" s="45"/>
      <c r="J112" s="26"/>
      <c r="K112" s="67"/>
      <c r="L112" s="65"/>
      <c r="M112" s="43"/>
      <c r="N112" s="48"/>
      <c r="O112" s="48"/>
      <c r="P112" s="48"/>
      <c r="Q112" s="48"/>
      <c r="R112" s="48"/>
      <c r="S112" s="48"/>
      <c r="T112" s="48"/>
      <c r="U112" s="48"/>
      <c r="V112" s="53"/>
      <c r="W112" s="26"/>
      <c r="X112" s="26"/>
      <c r="Y112" s="54"/>
      <c r="Z112" s="53" t="str">
        <f t="shared" si="4"/>
        <v/>
      </c>
      <c r="AA112" s="26" t="str">
        <f t="shared" si="4"/>
        <v/>
      </c>
      <c r="AB112" s="22"/>
      <c r="AC112" s="22"/>
      <c r="AD112" s="26"/>
      <c r="AE112" s="26"/>
      <c r="AF112" s="26"/>
      <c r="AG112" s="26"/>
      <c r="AH112" s="26"/>
      <c r="AI112" s="54"/>
    </row>
    <row r="113" spans="1:35" s="14" customFormat="1" ht="16.350000000000001" customHeight="1" x14ac:dyDescent="0.25">
      <c r="A113" s="87"/>
      <c r="B113" s="11"/>
      <c r="C113" s="11"/>
      <c r="D113" s="11"/>
      <c r="E113" s="62"/>
      <c r="F113" s="66"/>
      <c r="G113" s="24"/>
      <c r="H113" s="25"/>
      <c r="I113" s="45"/>
      <c r="J113" s="26"/>
      <c r="K113" s="67"/>
      <c r="L113" s="65"/>
      <c r="M113" s="43"/>
      <c r="N113" s="48"/>
      <c r="O113" s="48"/>
      <c r="P113" s="48"/>
      <c r="Q113" s="48"/>
      <c r="R113" s="48"/>
      <c r="S113" s="48"/>
      <c r="T113" s="48"/>
      <c r="U113" s="48"/>
      <c r="V113" s="53"/>
      <c r="W113" s="26"/>
      <c r="X113" s="26"/>
      <c r="Y113" s="54"/>
      <c r="Z113" s="53" t="str">
        <f t="shared" si="4"/>
        <v/>
      </c>
      <c r="AA113" s="26" t="str">
        <f t="shared" si="4"/>
        <v/>
      </c>
      <c r="AB113" s="22"/>
      <c r="AC113" s="22"/>
      <c r="AD113" s="26"/>
      <c r="AE113" s="26"/>
      <c r="AF113" s="26"/>
      <c r="AG113" s="26"/>
      <c r="AH113" s="26"/>
      <c r="AI113" s="54"/>
    </row>
    <row r="114" spans="1:35" s="14" customFormat="1" ht="16.350000000000001" customHeight="1" x14ac:dyDescent="0.25">
      <c r="A114" s="87"/>
      <c r="B114" s="11"/>
      <c r="C114" s="11"/>
      <c r="D114" s="11"/>
      <c r="E114" s="62"/>
      <c r="F114" s="66"/>
      <c r="G114" s="24"/>
      <c r="H114" s="25"/>
      <c r="I114" s="45"/>
      <c r="J114" s="26"/>
      <c r="K114" s="67"/>
      <c r="L114" s="65"/>
      <c r="M114" s="43"/>
      <c r="N114" s="48"/>
      <c r="O114" s="48"/>
      <c r="P114" s="48"/>
      <c r="Q114" s="48"/>
      <c r="R114" s="48"/>
      <c r="S114" s="48"/>
      <c r="T114" s="48"/>
      <c r="U114" s="48"/>
      <c r="V114" s="53"/>
      <c r="W114" s="26"/>
      <c r="X114" s="26"/>
      <c r="Y114" s="54"/>
      <c r="Z114" s="53" t="str">
        <f t="shared" si="4"/>
        <v/>
      </c>
      <c r="AA114" s="26" t="str">
        <f t="shared" si="4"/>
        <v/>
      </c>
      <c r="AB114" s="22"/>
      <c r="AC114" s="22"/>
      <c r="AD114" s="26"/>
      <c r="AE114" s="26"/>
      <c r="AF114" s="26"/>
      <c r="AG114" s="26"/>
      <c r="AH114" s="26"/>
      <c r="AI114" s="54"/>
    </row>
    <row r="115" spans="1:35" s="14" customFormat="1" ht="16.350000000000001" customHeight="1" x14ac:dyDescent="0.25">
      <c r="A115" s="87"/>
      <c r="B115" s="11"/>
      <c r="C115" s="11"/>
      <c r="D115" s="11"/>
      <c r="E115" s="62"/>
      <c r="F115" s="66"/>
      <c r="G115" s="24"/>
      <c r="H115" s="25"/>
      <c r="I115" s="45"/>
      <c r="J115" s="26"/>
      <c r="K115" s="67"/>
      <c r="L115" s="65"/>
      <c r="M115" s="43"/>
      <c r="N115" s="48"/>
      <c r="O115" s="48"/>
      <c r="P115" s="48"/>
      <c r="Q115" s="48"/>
      <c r="R115" s="48"/>
      <c r="S115" s="48"/>
      <c r="T115" s="48"/>
      <c r="U115" s="48"/>
      <c r="V115" s="53"/>
      <c r="W115" s="26"/>
      <c r="X115" s="26"/>
      <c r="Y115" s="54"/>
      <c r="Z115" s="53" t="str">
        <f t="shared" si="4"/>
        <v/>
      </c>
      <c r="AA115" s="26" t="str">
        <f t="shared" si="4"/>
        <v/>
      </c>
      <c r="AB115" s="22"/>
      <c r="AC115" s="22"/>
      <c r="AD115" s="26"/>
      <c r="AE115" s="26"/>
      <c r="AF115" s="26"/>
      <c r="AG115" s="26"/>
      <c r="AH115" s="26"/>
      <c r="AI115" s="54"/>
    </row>
    <row r="116" spans="1:35" s="14" customFormat="1" ht="16.350000000000001" customHeight="1" x14ac:dyDescent="0.25">
      <c r="A116" s="87"/>
      <c r="B116" s="11"/>
      <c r="C116" s="11"/>
      <c r="D116" s="11"/>
      <c r="E116" s="62"/>
      <c r="F116" s="66"/>
      <c r="G116" s="24"/>
      <c r="H116" s="25"/>
      <c r="I116" s="45"/>
      <c r="J116" s="26"/>
      <c r="K116" s="67"/>
      <c r="L116" s="65"/>
      <c r="M116" s="43"/>
      <c r="N116" s="48"/>
      <c r="O116" s="48"/>
      <c r="P116" s="48"/>
      <c r="Q116" s="48"/>
      <c r="R116" s="48"/>
      <c r="S116" s="48"/>
      <c r="T116" s="48"/>
      <c r="U116" s="48"/>
      <c r="V116" s="53"/>
      <c r="W116" s="26"/>
      <c r="X116" s="26"/>
      <c r="Y116" s="54"/>
      <c r="Z116" s="53" t="str">
        <f t="shared" si="4"/>
        <v/>
      </c>
      <c r="AA116" s="26" t="str">
        <f t="shared" si="4"/>
        <v/>
      </c>
      <c r="AB116" s="22"/>
      <c r="AC116" s="22"/>
      <c r="AD116" s="26"/>
      <c r="AE116" s="26"/>
      <c r="AF116" s="26"/>
      <c r="AG116" s="26"/>
      <c r="AH116" s="26"/>
      <c r="AI116" s="54"/>
    </row>
    <row r="117" spans="1:35" s="14" customFormat="1" ht="16.350000000000001" customHeight="1" x14ac:dyDescent="0.25">
      <c r="A117" s="87"/>
      <c r="B117" s="11"/>
      <c r="C117" s="11"/>
      <c r="D117" s="11"/>
      <c r="E117" s="62"/>
      <c r="F117" s="66"/>
      <c r="G117" s="24"/>
      <c r="H117" s="25"/>
      <c r="I117" s="45"/>
      <c r="J117" s="26"/>
      <c r="K117" s="67"/>
      <c r="L117" s="65"/>
      <c r="M117" s="43"/>
      <c r="N117" s="48"/>
      <c r="O117" s="48"/>
      <c r="P117" s="48"/>
      <c r="Q117" s="48"/>
      <c r="R117" s="48"/>
      <c r="S117" s="48"/>
      <c r="T117" s="48"/>
      <c r="U117" s="48"/>
      <c r="V117" s="53"/>
      <c r="W117" s="26"/>
      <c r="X117" s="26"/>
      <c r="Y117" s="54"/>
      <c r="Z117" s="53" t="str">
        <f t="shared" si="4"/>
        <v/>
      </c>
      <c r="AA117" s="26" t="str">
        <f t="shared" si="4"/>
        <v/>
      </c>
      <c r="AB117" s="22"/>
      <c r="AC117" s="22"/>
      <c r="AD117" s="26"/>
      <c r="AE117" s="26"/>
      <c r="AF117" s="26"/>
      <c r="AG117" s="26"/>
      <c r="AH117" s="26"/>
      <c r="AI117" s="54"/>
    </row>
    <row r="118" spans="1:35" s="14" customFormat="1" ht="16.350000000000001" customHeight="1" x14ac:dyDescent="0.25">
      <c r="A118" s="87"/>
      <c r="B118" s="11"/>
      <c r="C118" s="11"/>
      <c r="D118" s="11"/>
      <c r="E118" s="62"/>
      <c r="F118" s="66"/>
      <c r="G118" s="24"/>
      <c r="H118" s="25"/>
      <c r="I118" s="45"/>
      <c r="J118" s="26"/>
      <c r="K118" s="67"/>
      <c r="L118" s="65"/>
      <c r="M118" s="43"/>
      <c r="N118" s="48"/>
      <c r="O118" s="48"/>
      <c r="P118" s="48"/>
      <c r="Q118" s="48"/>
      <c r="R118" s="48"/>
      <c r="S118" s="48"/>
      <c r="T118" s="48"/>
      <c r="U118" s="48"/>
      <c r="V118" s="53"/>
      <c r="W118" s="26"/>
      <c r="X118" s="26"/>
      <c r="Y118" s="54"/>
      <c r="Z118" s="53" t="str">
        <f t="shared" si="4"/>
        <v/>
      </c>
      <c r="AA118" s="26" t="str">
        <f t="shared" si="4"/>
        <v/>
      </c>
      <c r="AB118" s="22"/>
      <c r="AC118" s="22"/>
      <c r="AD118" s="26"/>
      <c r="AE118" s="26"/>
      <c r="AF118" s="26"/>
      <c r="AG118" s="26"/>
      <c r="AH118" s="26"/>
      <c r="AI118" s="54"/>
    </row>
    <row r="119" spans="1:35" s="14" customFormat="1" ht="16.350000000000001" customHeight="1" x14ac:dyDescent="0.25">
      <c r="A119" s="87"/>
      <c r="B119" s="11"/>
      <c r="C119" s="11"/>
      <c r="D119" s="11"/>
      <c r="E119" s="62"/>
      <c r="F119" s="66"/>
      <c r="G119" s="24"/>
      <c r="H119" s="25"/>
      <c r="I119" s="45"/>
      <c r="J119" s="26"/>
      <c r="K119" s="67"/>
      <c r="L119" s="65"/>
      <c r="M119" s="43"/>
      <c r="N119" s="48"/>
      <c r="O119" s="48"/>
      <c r="P119" s="48"/>
      <c r="Q119" s="48"/>
      <c r="R119" s="48"/>
      <c r="S119" s="48"/>
      <c r="T119" s="48"/>
      <c r="U119" s="48"/>
      <c r="V119" s="53"/>
      <c r="W119" s="26"/>
      <c r="X119" s="26"/>
      <c r="Y119" s="54"/>
      <c r="Z119" s="53" t="str">
        <f t="shared" si="4"/>
        <v/>
      </c>
      <c r="AA119" s="26" t="str">
        <f t="shared" si="4"/>
        <v/>
      </c>
      <c r="AB119" s="22"/>
      <c r="AC119" s="22"/>
      <c r="AD119" s="26"/>
      <c r="AE119" s="26"/>
      <c r="AF119" s="26"/>
      <c r="AG119" s="26"/>
      <c r="AH119" s="26"/>
      <c r="AI119" s="54"/>
    </row>
    <row r="120" spans="1:35" s="14" customFormat="1" ht="16.350000000000001" customHeight="1" x14ac:dyDescent="0.25">
      <c r="A120" s="87"/>
      <c r="B120" s="11"/>
      <c r="C120" s="11"/>
      <c r="D120" s="11"/>
      <c r="E120" s="62"/>
      <c r="F120" s="66"/>
      <c r="G120" s="24"/>
      <c r="H120" s="25"/>
      <c r="I120" s="45"/>
      <c r="J120" s="26"/>
      <c r="K120" s="67"/>
      <c r="L120" s="65"/>
      <c r="M120" s="43"/>
      <c r="N120" s="48"/>
      <c r="O120" s="48"/>
      <c r="P120" s="48"/>
      <c r="Q120" s="48"/>
      <c r="R120" s="48"/>
      <c r="S120" s="48"/>
      <c r="T120" s="48"/>
      <c r="U120" s="48"/>
      <c r="V120" s="53"/>
      <c r="W120" s="26"/>
      <c r="X120" s="26"/>
      <c r="Y120" s="54"/>
      <c r="Z120" s="53" t="str">
        <f t="shared" si="4"/>
        <v/>
      </c>
      <c r="AA120" s="26" t="str">
        <f t="shared" si="4"/>
        <v/>
      </c>
      <c r="AB120" s="22"/>
      <c r="AC120" s="22"/>
      <c r="AD120" s="26"/>
      <c r="AE120" s="26"/>
      <c r="AF120" s="26"/>
      <c r="AG120" s="26"/>
      <c r="AH120" s="26"/>
      <c r="AI120" s="54"/>
    </row>
    <row r="121" spans="1:35" s="14" customFormat="1" ht="16.350000000000001" customHeight="1" x14ac:dyDescent="0.25">
      <c r="A121" s="87"/>
      <c r="B121" s="11"/>
      <c r="C121" s="11"/>
      <c r="D121" s="11"/>
      <c r="E121" s="62"/>
      <c r="F121" s="66"/>
      <c r="G121" s="24"/>
      <c r="H121" s="25"/>
      <c r="I121" s="45"/>
      <c r="J121" s="26"/>
      <c r="K121" s="67"/>
      <c r="L121" s="65"/>
      <c r="M121" s="43"/>
      <c r="N121" s="48"/>
      <c r="O121" s="48"/>
      <c r="P121" s="48"/>
      <c r="Q121" s="48"/>
      <c r="R121" s="48"/>
      <c r="S121" s="48"/>
      <c r="T121" s="48"/>
      <c r="U121" s="48"/>
      <c r="V121" s="53"/>
      <c r="W121" s="26"/>
      <c r="X121" s="26"/>
      <c r="Y121" s="54"/>
      <c r="Z121" s="53" t="str">
        <f t="shared" si="4"/>
        <v/>
      </c>
      <c r="AA121" s="26" t="str">
        <f t="shared" si="4"/>
        <v/>
      </c>
      <c r="AB121" s="22"/>
      <c r="AC121" s="22"/>
      <c r="AD121" s="26"/>
      <c r="AE121" s="26"/>
      <c r="AF121" s="26"/>
      <c r="AG121" s="26"/>
      <c r="AH121" s="26"/>
      <c r="AI121" s="54"/>
    </row>
    <row r="122" spans="1:35" s="14" customFormat="1" ht="16.350000000000001" customHeight="1" x14ac:dyDescent="0.25">
      <c r="A122" s="87"/>
      <c r="B122" s="11"/>
      <c r="C122" s="11"/>
      <c r="D122" s="11"/>
      <c r="E122" s="62"/>
      <c r="F122" s="66"/>
      <c r="G122" s="24"/>
      <c r="H122" s="25"/>
      <c r="I122" s="45"/>
      <c r="J122" s="26"/>
      <c r="K122" s="67"/>
      <c r="L122" s="65"/>
      <c r="M122" s="43"/>
      <c r="N122" s="48"/>
      <c r="O122" s="48"/>
      <c r="P122" s="48"/>
      <c r="Q122" s="48"/>
      <c r="R122" s="48"/>
      <c r="S122" s="48"/>
      <c r="T122" s="48"/>
      <c r="U122" s="48"/>
      <c r="V122" s="53"/>
      <c r="W122" s="26"/>
      <c r="X122" s="26"/>
      <c r="Y122" s="54"/>
      <c r="Z122" s="53" t="str">
        <f t="shared" si="4"/>
        <v/>
      </c>
      <c r="AA122" s="26" t="str">
        <f t="shared" si="4"/>
        <v/>
      </c>
      <c r="AB122" s="22"/>
      <c r="AC122" s="22"/>
      <c r="AD122" s="26"/>
      <c r="AE122" s="26"/>
      <c r="AF122" s="26"/>
      <c r="AG122" s="26"/>
      <c r="AH122" s="26"/>
      <c r="AI122" s="54"/>
    </row>
    <row r="123" spans="1:35" s="14" customFormat="1" ht="16.350000000000001" customHeight="1" x14ac:dyDescent="0.25">
      <c r="A123" s="92"/>
      <c r="B123" s="12"/>
      <c r="C123" s="12"/>
      <c r="D123" s="12"/>
      <c r="E123" s="63"/>
      <c r="F123" s="66"/>
      <c r="G123" s="24"/>
      <c r="H123" s="17"/>
      <c r="I123" s="45"/>
      <c r="J123" s="26"/>
      <c r="K123" s="67"/>
      <c r="L123" s="65"/>
      <c r="M123" s="43"/>
      <c r="N123" s="48"/>
      <c r="O123" s="48"/>
      <c r="P123" s="48"/>
      <c r="Q123" s="48"/>
      <c r="R123" s="48"/>
      <c r="S123" s="48"/>
      <c r="T123" s="48"/>
      <c r="U123" s="48"/>
      <c r="V123" s="53"/>
      <c r="W123" s="26"/>
      <c r="X123" s="26"/>
      <c r="Y123" s="54"/>
      <c r="Z123" s="53" t="str">
        <f t="shared" si="4"/>
        <v/>
      </c>
      <c r="AA123" s="26" t="str">
        <f t="shared" si="4"/>
        <v/>
      </c>
      <c r="AB123" s="22"/>
      <c r="AC123" s="22"/>
      <c r="AD123" s="26"/>
      <c r="AE123" s="26"/>
      <c r="AF123" s="26"/>
      <c r="AG123" s="26"/>
      <c r="AH123" s="26"/>
      <c r="AI123" s="54"/>
    </row>
    <row r="124" spans="1:35" s="14" customFormat="1" ht="16.350000000000001" customHeight="1" x14ac:dyDescent="0.25">
      <c r="A124" s="87"/>
      <c r="B124" s="11"/>
      <c r="C124" s="11"/>
      <c r="D124" s="11"/>
      <c r="E124" s="62"/>
      <c r="F124" s="66"/>
      <c r="G124" s="24"/>
      <c r="H124" s="25"/>
      <c r="I124" s="45"/>
      <c r="J124" s="26"/>
      <c r="K124" s="67"/>
      <c r="L124" s="65"/>
      <c r="M124" s="43"/>
      <c r="N124" s="48"/>
      <c r="O124" s="48"/>
      <c r="P124" s="48"/>
      <c r="Q124" s="48"/>
      <c r="R124" s="48"/>
      <c r="S124" s="48"/>
      <c r="T124" s="48"/>
      <c r="U124" s="48"/>
      <c r="V124" s="53"/>
      <c r="W124" s="26"/>
      <c r="X124" s="26"/>
      <c r="Y124" s="54"/>
      <c r="Z124" s="53" t="str">
        <f t="shared" si="4"/>
        <v/>
      </c>
      <c r="AA124" s="26" t="str">
        <f t="shared" si="4"/>
        <v/>
      </c>
      <c r="AB124" s="22"/>
      <c r="AC124" s="22"/>
      <c r="AD124" s="26"/>
      <c r="AE124" s="26"/>
      <c r="AF124" s="26"/>
      <c r="AG124" s="26"/>
      <c r="AH124" s="26"/>
      <c r="AI124" s="54"/>
    </row>
    <row r="125" spans="1:35" s="14" customFormat="1" ht="16.350000000000001" customHeight="1" x14ac:dyDescent="0.25">
      <c r="A125" s="87"/>
      <c r="B125" s="11"/>
      <c r="C125" s="11"/>
      <c r="D125" s="11"/>
      <c r="E125" s="62"/>
      <c r="F125" s="66"/>
      <c r="G125" s="24"/>
      <c r="H125" s="25"/>
      <c r="I125" s="45"/>
      <c r="J125" s="26"/>
      <c r="K125" s="67"/>
      <c r="L125" s="65"/>
      <c r="M125" s="43"/>
      <c r="N125" s="48"/>
      <c r="O125" s="48"/>
      <c r="P125" s="48"/>
      <c r="Q125" s="48"/>
      <c r="R125" s="48"/>
      <c r="S125" s="48"/>
      <c r="T125" s="48"/>
      <c r="U125" s="48"/>
      <c r="V125" s="53"/>
      <c r="W125" s="26"/>
      <c r="X125" s="26"/>
      <c r="Y125" s="54"/>
      <c r="Z125" s="53" t="str">
        <f t="shared" si="4"/>
        <v/>
      </c>
      <c r="AA125" s="26" t="str">
        <f t="shared" si="4"/>
        <v/>
      </c>
      <c r="AB125" s="22"/>
      <c r="AC125" s="22"/>
      <c r="AD125" s="26"/>
      <c r="AE125" s="26"/>
      <c r="AF125" s="26"/>
      <c r="AG125" s="26"/>
      <c r="AH125" s="26"/>
      <c r="AI125" s="54"/>
    </row>
    <row r="126" spans="1:35" s="14" customFormat="1" ht="16.350000000000001" customHeight="1" x14ac:dyDescent="0.25">
      <c r="A126" s="87"/>
      <c r="B126" s="11"/>
      <c r="C126" s="11"/>
      <c r="D126" s="11"/>
      <c r="E126" s="62"/>
      <c r="F126" s="66"/>
      <c r="G126" s="24"/>
      <c r="H126" s="25"/>
      <c r="I126" s="45"/>
      <c r="J126" s="26"/>
      <c r="K126" s="67"/>
      <c r="L126" s="65"/>
      <c r="M126" s="43"/>
      <c r="N126" s="48"/>
      <c r="O126" s="48"/>
      <c r="P126" s="48"/>
      <c r="Q126" s="48"/>
      <c r="R126" s="48"/>
      <c r="S126" s="48"/>
      <c r="T126" s="48"/>
      <c r="U126" s="48"/>
      <c r="V126" s="53"/>
      <c r="W126" s="26"/>
      <c r="X126" s="26"/>
      <c r="Y126" s="54"/>
      <c r="Z126" s="53" t="str">
        <f t="shared" si="4"/>
        <v/>
      </c>
      <c r="AA126" s="26" t="str">
        <f t="shared" si="4"/>
        <v/>
      </c>
      <c r="AB126" s="22"/>
      <c r="AC126" s="22"/>
      <c r="AD126" s="26"/>
      <c r="AE126" s="26"/>
      <c r="AF126" s="26"/>
      <c r="AG126" s="26"/>
      <c r="AH126" s="26"/>
      <c r="AI126" s="54"/>
    </row>
    <row r="127" spans="1:35" s="14" customFormat="1" ht="16.350000000000001" customHeight="1" x14ac:dyDescent="0.25">
      <c r="A127" s="87"/>
      <c r="B127" s="11"/>
      <c r="C127" s="11"/>
      <c r="D127" s="11"/>
      <c r="E127" s="62"/>
      <c r="F127" s="66"/>
      <c r="G127" s="24"/>
      <c r="H127" s="25"/>
      <c r="I127" s="45"/>
      <c r="J127" s="26"/>
      <c r="K127" s="67"/>
      <c r="L127" s="65"/>
      <c r="M127" s="43"/>
      <c r="N127" s="48"/>
      <c r="O127" s="48"/>
      <c r="P127" s="48"/>
      <c r="Q127" s="48"/>
      <c r="R127" s="48"/>
      <c r="S127" s="48"/>
      <c r="T127" s="48"/>
      <c r="U127" s="48"/>
      <c r="V127" s="53"/>
      <c r="W127" s="26"/>
      <c r="X127" s="26"/>
      <c r="Y127" s="54"/>
      <c r="Z127" s="53" t="str">
        <f t="shared" si="4"/>
        <v/>
      </c>
      <c r="AA127" s="26" t="str">
        <f t="shared" si="4"/>
        <v/>
      </c>
      <c r="AB127" s="22"/>
      <c r="AC127" s="22"/>
      <c r="AD127" s="26"/>
      <c r="AE127" s="26"/>
      <c r="AF127" s="26"/>
      <c r="AG127" s="26"/>
      <c r="AH127" s="26"/>
      <c r="AI127" s="54"/>
    </row>
    <row r="128" spans="1:35" s="14" customFormat="1" ht="16.350000000000001" customHeight="1" x14ac:dyDescent="0.25">
      <c r="A128" s="87"/>
      <c r="B128" s="11"/>
      <c r="C128" s="11"/>
      <c r="D128" s="11"/>
      <c r="E128" s="62"/>
      <c r="F128" s="66"/>
      <c r="G128" s="24"/>
      <c r="H128" s="25"/>
      <c r="I128" s="45"/>
      <c r="J128" s="26"/>
      <c r="K128" s="67"/>
      <c r="L128" s="65"/>
      <c r="M128" s="43"/>
      <c r="N128" s="48"/>
      <c r="O128" s="48"/>
      <c r="P128" s="48"/>
      <c r="Q128" s="48"/>
      <c r="R128" s="48"/>
      <c r="S128" s="48"/>
      <c r="T128" s="48"/>
      <c r="U128" s="48"/>
      <c r="V128" s="53"/>
      <c r="W128" s="26"/>
      <c r="X128" s="26"/>
      <c r="Y128" s="54"/>
      <c r="Z128" s="53" t="str">
        <f t="shared" si="4"/>
        <v/>
      </c>
      <c r="AA128" s="26" t="str">
        <f t="shared" si="4"/>
        <v/>
      </c>
      <c r="AB128" s="22"/>
      <c r="AC128" s="22"/>
      <c r="AD128" s="26"/>
      <c r="AE128" s="26"/>
      <c r="AF128" s="26"/>
      <c r="AG128" s="26"/>
      <c r="AH128" s="26"/>
      <c r="AI128" s="54"/>
    </row>
    <row r="129" spans="1:35" s="14" customFormat="1" ht="16.350000000000001" customHeight="1" x14ac:dyDescent="0.25">
      <c r="A129" s="92"/>
      <c r="B129" s="12"/>
      <c r="C129" s="12"/>
      <c r="D129" s="12"/>
      <c r="E129" s="63"/>
      <c r="F129" s="66"/>
      <c r="G129" s="24"/>
      <c r="H129" s="17"/>
      <c r="I129" s="45"/>
      <c r="J129" s="26"/>
      <c r="K129" s="67"/>
      <c r="L129" s="65"/>
      <c r="M129" s="43"/>
      <c r="N129" s="48"/>
      <c r="O129" s="48"/>
      <c r="P129" s="48"/>
      <c r="Q129" s="48"/>
      <c r="R129" s="48"/>
      <c r="S129" s="48"/>
      <c r="T129" s="48"/>
      <c r="U129" s="48"/>
      <c r="V129" s="53"/>
      <c r="W129" s="26"/>
      <c r="X129" s="26"/>
      <c r="Y129" s="54"/>
      <c r="Z129" s="53" t="str">
        <f t="shared" si="4"/>
        <v/>
      </c>
      <c r="AA129" s="26" t="str">
        <f t="shared" si="4"/>
        <v/>
      </c>
      <c r="AB129" s="22"/>
      <c r="AC129" s="22"/>
      <c r="AD129" s="26"/>
      <c r="AE129" s="26"/>
      <c r="AF129" s="26"/>
      <c r="AG129" s="26"/>
      <c r="AH129" s="26"/>
      <c r="AI129" s="54"/>
    </row>
    <row r="130" spans="1:35" s="14" customFormat="1" ht="16.350000000000001" customHeight="1" x14ac:dyDescent="0.25">
      <c r="A130" s="87"/>
      <c r="B130" s="11"/>
      <c r="C130" s="11"/>
      <c r="D130" s="11"/>
      <c r="E130" s="62"/>
      <c r="F130" s="66"/>
      <c r="G130" s="24"/>
      <c r="H130" s="25"/>
      <c r="I130" s="45"/>
      <c r="J130" s="26"/>
      <c r="K130" s="67"/>
      <c r="L130" s="65"/>
      <c r="M130" s="43"/>
      <c r="N130" s="48"/>
      <c r="O130" s="48"/>
      <c r="P130" s="48"/>
      <c r="Q130" s="48"/>
      <c r="R130" s="48"/>
      <c r="S130" s="48"/>
      <c r="T130" s="48"/>
      <c r="U130" s="48"/>
      <c r="V130" s="53"/>
      <c r="W130" s="26"/>
      <c r="X130" s="26"/>
      <c r="Y130" s="54"/>
      <c r="Z130" s="53" t="str">
        <f t="shared" ref="Z130:AA141" si="5">IF(COUNTIF(AB130:AI130,"x")&gt;0,"x","")</f>
        <v/>
      </c>
      <c r="AA130" s="26" t="str">
        <f t="shared" si="5"/>
        <v/>
      </c>
      <c r="AB130" s="22"/>
      <c r="AC130" s="22"/>
      <c r="AD130" s="26"/>
      <c r="AE130" s="26"/>
      <c r="AF130" s="26"/>
      <c r="AG130" s="26"/>
      <c r="AH130" s="26"/>
      <c r="AI130" s="54"/>
    </row>
    <row r="131" spans="1:35" s="14" customFormat="1" ht="16.350000000000001" customHeight="1" x14ac:dyDescent="0.25">
      <c r="A131" s="87"/>
      <c r="B131" s="11"/>
      <c r="C131" s="11"/>
      <c r="D131" s="11"/>
      <c r="E131" s="62"/>
      <c r="F131" s="66"/>
      <c r="G131" s="24"/>
      <c r="H131" s="25"/>
      <c r="I131" s="45"/>
      <c r="J131" s="26"/>
      <c r="K131" s="67"/>
      <c r="L131" s="65"/>
      <c r="M131" s="43"/>
      <c r="N131" s="48"/>
      <c r="O131" s="48"/>
      <c r="P131" s="48"/>
      <c r="Q131" s="48"/>
      <c r="R131" s="48"/>
      <c r="S131" s="48"/>
      <c r="T131" s="48"/>
      <c r="U131" s="48"/>
      <c r="V131" s="53"/>
      <c r="W131" s="26"/>
      <c r="X131" s="26"/>
      <c r="Y131" s="54"/>
      <c r="Z131" s="53" t="str">
        <f t="shared" si="5"/>
        <v/>
      </c>
      <c r="AA131" s="26" t="str">
        <f t="shared" si="5"/>
        <v/>
      </c>
      <c r="AB131" s="22"/>
      <c r="AC131" s="22"/>
      <c r="AD131" s="26"/>
      <c r="AE131" s="26"/>
      <c r="AF131" s="26"/>
      <c r="AG131" s="26"/>
      <c r="AH131" s="26"/>
      <c r="AI131" s="54"/>
    </row>
    <row r="132" spans="1:35" s="14" customFormat="1" ht="16.350000000000001" customHeight="1" x14ac:dyDescent="0.25">
      <c r="A132" s="87"/>
      <c r="B132" s="11"/>
      <c r="C132" s="11"/>
      <c r="D132" s="11"/>
      <c r="E132" s="62"/>
      <c r="F132" s="66"/>
      <c r="G132" s="24"/>
      <c r="H132" s="25"/>
      <c r="I132" s="45"/>
      <c r="J132" s="26"/>
      <c r="K132" s="67"/>
      <c r="L132" s="65"/>
      <c r="M132" s="43"/>
      <c r="N132" s="48"/>
      <c r="O132" s="48"/>
      <c r="P132" s="48"/>
      <c r="Q132" s="48"/>
      <c r="R132" s="48"/>
      <c r="S132" s="48"/>
      <c r="T132" s="48"/>
      <c r="U132" s="48"/>
      <c r="V132" s="53"/>
      <c r="W132" s="26"/>
      <c r="X132" s="26"/>
      <c r="Y132" s="54"/>
      <c r="Z132" s="53" t="str">
        <f t="shared" si="5"/>
        <v/>
      </c>
      <c r="AA132" s="26" t="str">
        <f t="shared" si="5"/>
        <v/>
      </c>
      <c r="AB132" s="22"/>
      <c r="AC132" s="22"/>
      <c r="AD132" s="26"/>
      <c r="AE132" s="26"/>
      <c r="AF132" s="26"/>
      <c r="AG132" s="26"/>
      <c r="AH132" s="26"/>
      <c r="AI132" s="54"/>
    </row>
    <row r="133" spans="1:35" s="14" customFormat="1" ht="16.350000000000001" customHeight="1" x14ac:dyDescent="0.25">
      <c r="A133" s="87"/>
      <c r="B133" s="11"/>
      <c r="C133" s="11"/>
      <c r="D133" s="11"/>
      <c r="E133" s="62"/>
      <c r="F133" s="66"/>
      <c r="G133" s="24"/>
      <c r="H133" s="25"/>
      <c r="I133" s="45"/>
      <c r="J133" s="26"/>
      <c r="K133" s="67"/>
      <c r="L133" s="65"/>
      <c r="M133" s="43"/>
      <c r="N133" s="48"/>
      <c r="O133" s="48"/>
      <c r="P133" s="48"/>
      <c r="Q133" s="48"/>
      <c r="R133" s="48"/>
      <c r="S133" s="48"/>
      <c r="T133" s="48"/>
      <c r="U133" s="48"/>
      <c r="V133" s="53"/>
      <c r="W133" s="26"/>
      <c r="X133" s="26"/>
      <c r="Y133" s="54"/>
      <c r="Z133" s="53" t="str">
        <f t="shared" si="5"/>
        <v/>
      </c>
      <c r="AA133" s="26" t="str">
        <f t="shared" si="5"/>
        <v/>
      </c>
      <c r="AB133" s="22"/>
      <c r="AC133" s="22"/>
      <c r="AD133" s="26"/>
      <c r="AE133" s="26"/>
      <c r="AF133" s="26"/>
      <c r="AG133" s="26"/>
      <c r="AH133" s="26"/>
      <c r="AI133" s="54"/>
    </row>
    <row r="134" spans="1:35" s="14" customFormat="1" ht="16.350000000000001" customHeight="1" x14ac:dyDescent="0.25">
      <c r="A134" s="87"/>
      <c r="B134" s="11"/>
      <c r="C134" s="11"/>
      <c r="D134" s="11"/>
      <c r="E134" s="62"/>
      <c r="F134" s="66"/>
      <c r="G134" s="24"/>
      <c r="H134" s="25"/>
      <c r="I134" s="45"/>
      <c r="J134" s="26"/>
      <c r="K134" s="67"/>
      <c r="L134" s="65"/>
      <c r="M134" s="43"/>
      <c r="N134" s="48"/>
      <c r="O134" s="48"/>
      <c r="P134" s="48"/>
      <c r="Q134" s="48"/>
      <c r="R134" s="48"/>
      <c r="S134" s="48"/>
      <c r="T134" s="48"/>
      <c r="U134" s="48"/>
      <c r="V134" s="53"/>
      <c r="W134" s="26"/>
      <c r="X134" s="26"/>
      <c r="Y134" s="54"/>
      <c r="Z134" s="53" t="str">
        <f t="shared" si="5"/>
        <v/>
      </c>
      <c r="AA134" s="26" t="str">
        <f t="shared" si="5"/>
        <v/>
      </c>
      <c r="AB134" s="22"/>
      <c r="AC134" s="22"/>
      <c r="AD134" s="26"/>
      <c r="AE134" s="26"/>
      <c r="AF134" s="26"/>
      <c r="AG134" s="26"/>
      <c r="AH134" s="26"/>
      <c r="AI134" s="54"/>
    </row>
    <row r="135" spans="1:35" s="14" customFormat="1" ht="16.350000000000001" customHeight="1" x14ac:dyDescent="0.25">
      <c r="A135" s="87"/>
      <c r="B135" s="11"/>
      <c r="C135" s="11"/>
      <c r="D135" s="11"/>
      <c r="E135" s="62"/>
      <c r="F135" s="66"/>
      <c r="G135" s="24"/>
      <c r="H135" s="25"/>
      <c r="I135" s="45"/>
      <c r="J135" s="26"/>
      <c r="K135" s="67"/>
      <c r="L135" s="65"/>
      <c r="M135" s="43"/>
      <c r="N135" s="48"/>
      <c r="O135" s="48"/>
      <c r="P135" s="48"/>
      <c r="Q135" s="48"/>
      <c r="R135" s="48"/>
      <c r="S135" s="48"/>
      <c r="T135" s="48"/>
      <c r="U135" s="48"/>
      <c r="V135" s="53"/>
      <c r="W135" s="26"/>
      <c r="X135" s="26"/>
      <c r="Y135" s="54"/>
      <c r="Z135" s="53" t="str">
        <f t="shared" si="5"/>
        <v/>
      </c>
      <c r="AA135" s="26" t="str">
        <f t="shared" si="5"/>
        <v/>
      </c>
      <c r="AB135" s="22"/>
      <c r="AC135" s="22"/>
      <c r="AD135" s="26"/>
      <c r="AE135" s="26"/>
      <c r="AF135" s="26"/>
      <c r="AG135" s="26"/>
      <c r="AH135" s="26"/>
      <c r="AI135" s="54"/>
    </row>
    <row r="136" spans="1:35" s="14" customFormat="1" ht="16.350000000000001" customHeight="1" x14ac:dyDescent="0.25">
      <c r="A136" s="87"/>
      <c r="B136" s="11"/>
      <c r="C136" s="11"/>
      <c r="D136" s="11"/>
      <c r="E136" s="62"/>
      <c r="F136" s="66"/>
      <c r="G136" s="24"/>
      <c r="H136" s="25"/>
      <c r="I136" s="45"/>
      <c r="J136" s="26"/>
      <c r="K136" s="67"/>
      <c r="L136" s="65"/>
      <c r="M136" s="43"/>
      <c r="N136" s="48"/>
      <c r="O136" s="48"/>
      <c r="P136" s="48"/>
      <c r="Q136" s="48"/>
      <c r="R136" s="48"/>
      <c r="S136" s="48"/>
      <c r="T136" s="48"/>
      <c r="U136" s="48"/>
      <c r="V136" s="53"/>
      <c r="W136" s="26"/>
      <c r="X136" s="26"/>
      <c r="Y136" s="54"/>
      <c r="Z136" s="53" t="str">
        <f t="shared" si="5"/>
        <v/>
      </c>
      <c r="AA136" s="26" t="str">
        <f t="shared" si="5"/>
        <v/>
      </c>
      <c r="AB136" s="22"/>
      <c r="AC136" s="22"/>
      <c r="AD136" s="26"/>
      <c r="AE136" s="26"/>
      <c r="AF136" s="26"/>
      <c r="AG136" s="26"/>
      <c r="AH136" s="26"/>
      <c r="AI136" s="54"/>
    </row>
    <row r="137" spans="1:35" s="14" customFormat="1" ht="16.350000000000001" customHeight="1" x14ac:dyDescent="0.25">
      <c r="A137" s="87"/>
      <c r="B137" s="11"/>
      <c r="C137" s="11"/>
      <c r="D137" s="11"/>
      <c r="E137" s="62"/>
      <c r="F137" s="66"/>
      <c r="G137" s="24"/>
      <c r="H137" s="25"/>
      <c r="I137" s="45"/>
      <c r="J137" s="26"/>
      <c r="K137" s="67"/>
      <c r="L137" s="65"/>
      <c r="M137" s="43"/>
      <c r="N137" s="48"/>
      <c r="O137" s="48"/>
      <c r="P137" s="48"/>
      <c r="Q137" s="48"/>
      <c r="R137" s="48"/>
      <c r="S137" s="48"/>
      <c r="T137" s="48"/>
      <c r="U137" s="48"/>
      <c r="V137" s="53"/>
      <c r="W137" s="26"/>
      <c r="X137" s="26"/>
      <c r="Y137" s="54"/>
      <c r="Z137" s="53" t="str">
        <f t="shared" si="5"/>
        <v/>
      </c>
      <c r="AA137" s="26" t="str">
        <f t="shared" si="5"/>
        <v/>
      </c>
      <c r="AB137" s="22"/>
      <c r="AC137" s="22"/>
      <c r="AD137" s="26"/>
      <c r="AE137" s="26"/>
      <c r="AF137" s="26"/>
      <c r="AG137" s="26"/>
      <c r="AH137" s="26"/>
      <c r="AI137" s="54"/>
    </row>
    <row r="138" spans="1:35" s="14" customFormat="1" ht="16.350000000000001" customHeight="1" x14ac:dyDescent="0.25">
      <c r="A138" s="87"/>
      <c r="B138" s="11"/>
      <c r="C138" s="11"/>
      <c r="D138" s="11"/>
      <c r="E138" s="62"/>
      <c r="F138" s="66"/>
      <c r="G138" s="24"/>
      <c r="H138" s="25"/>
      <c r="I138" s="45"/>
      <c r="J138" s="26"/>
      <c r="K138" s="67"/>
      <c r="L138" s="65"/>
      <c r="M138" s="43"/>
      <c r="N138" s="48"/>
      <c r="O138" s="48"/>
      <c r="P138" s="48"/>
      <c r="Q138" s="48"/>
      <c r="R138" s="48"/>
      <c r="S138" s="48"/>
      <c r="T138" s="48"/>
      <c r="U138" s="48"/>
      <c r="V138" s="53"/>
      <c r="W138" s="26"/>
      <c r="X138" s="26"/>
      <c r="Y138" s="54"/>
      <c r="Z138" s="53" t="str">
        <f t="shared" si="5"/>
        <v/>
      </c>
      <c r="AA138" s="26" t="str">
        <f t="shared" si="5"/>
        <v/>
      </c>
      <c r="AB138" s="22"/>
      <c r="AC138" s="22"/>
      <c r="AD138" s="26"/>
      <c r="AE138" s="26"/>
      <c r="AF138" s="26"/>
      <c r="AG138" s="26"/>
      <c r="AH138" s="26"/>
      <c r="AI138" s="54"/>
    </row>
    <row r="139" spans="1:35" s="14" customFormat="1" ht="16.350000000000001" customHeight="1" x14ac:dyDescent="0.25">
      <c r="A139" s="87"/>
      <c r="B139" s="11"/>
      <c r="C139" s="11"/>
      <c r="D139" s="11"/>
      <c r="E139" s="62"/>
      <c r="F139" s="66"/>
      <c r="G139" s="24"/>
      <c r="H139" s="25"/>
      <c r="I139" s="45"/>
      <c r="J139" s="26"/>
      <c r="K139" s="67"/>
      <c r="L139" s="65"/>
      <c r="M139" s="43"/>
      <c r="N139" s="48"/>
      <c r="O139" s="48"/>
      <c r="P139" s="48"/>
      <c r="Q139" s="48"/>
      <c r="R139" s="48"/>
      <c r="S139" s="48"/>
      <c r="T139" s="48"/>
      <c r="U139" s="48"/>
      <c r="V139" s="53"/>
      <c r="W139" s="26"/>
      <c r="X139" s="26"/>
      <c r="Y139" s="54"/>
      <c r="Z139" s="53" t="str">
        <f t="shared" si="5"/>
        <v/>
      </c>
      <c r="AA139" s="26" t="str">
        <f t="shared" si="5"/>
        <v/>
      </c>
      <c r="AB139" s="22"/>
      <c r="AC139" s="22"/>
      <c r="AD139" s="26"/>
      <c r="AE139" s="26"/>
      <c r="AF139" s="26"/>
      <c r="AG139" s="26"/>
      <c r="AH139" s="26"/>
      <c r="AI139" s="54"/>
    </row>
    <row r="140" spans="1:35" s="14" customFormat="1" ht="16.350000000000001" customHeight="1" x14ac:dyDescent="0.25">
      <c r="A140" s="87"/>
      <c r="B140" s="11"/>
      <c r="C140" s="11"/>
      <c r="D140" s="11"/>
      <c r="E140" s="62"/>
      <c r="F140" s="66"/>
      <c r="G140" s="24"/>
      <c r="H140" s="25"/>
      <c r="I140" s="45"/>
      <c r="J140" s="26"/>
      <c r="K140" s="67"/>
      <c r="L140" s="65"/>
      <c r="M140" s="43"/>
      <c r="N140" s="48"/>
      <c r="O140" s="48"/>
      <c r="P140" s="48"/>
      <c r="Q140" s="48"/>
      <c r="R140" s="48"/>
      <c r="S140" s="48"/>
      <c r="T140" s="48"/>
      <c r="U140" s="48"/>
      <c r="V140" s="53"/>
      <c r="W140" s="26"/>
      <c r="X140" s="26"/>
      <c r="Y140" s="54"/>
      <c r="Z140" s="53" t="str">
        <f t="shared" si="5"/>
        <v/>
      </c>
      <c r="AA140" s="26" t="str">
        <f t="shared" si="5"/>
        <v/>
      </c>
      <c r="AB140" s="22"/>
      <c r="AC140" s="22"/>
      <c r="AD140" s="26"/>
      <c r="AE140" s="26"/>
      <c r="AF140" s="26"/>
      <c r="AG140" s="26"/>
      <c r="AH140" s="26"/>
      <c r="AI140" s="54"/>
    </row>
    <row r="141" spans="1:35" s="14" customFormat="1" ht="16.350000000000001" customHeight="1" x14ac:dyDescent="0.25">
      <c r="A141" s="87"/>
      <c r="B141" s="11"/>
      <c r="C141" s="11"/>
      <c r="D141" s="11"/>
      <c r="E141" s="62"/>
      <c r="F141" s="66"/>
      <c r="G141" s="24"/>
      <c r="H141" s="25"/>
      <c r="I141" s="45"/>
      <c r="J141" s="26"/>
      <c r="K141" s="67"/>
      <c r="L141" s="65"/>
      <c r="M141" s="43"/>
      <c r="N141" s="48"/>
      <c r="O141" s="48"/>
      <c r="P141" s="48"/>
      <c r="Q141" s="48"/>
      <c r="R141" s="48"/>
      <c r="S141" s="48"/>
      <c r="T141" s="48"/>
      <c r="U141" s="48"/>
      <c r="V141" s="53"/>
      <c r="W141" s="26"/>
      <c r="X141" s="26"/>
      <c r="Y141" s="54"/>
      <c r="Z141" s="53" t="str">
        <f t="shared" si="5"/>
        <v/>
      </c>
      <c r="AA141" s="26" t="str">
        <f t="shared" si="5"/>
        <v/>
      </c>
      <c r="AB141" s="22"/>
      <c r="AC141" s="22"/>
      <c r="AD141" s="26"/>
      <c r="AE141" s="26"/>
      <c r="AF141" s="26"/>
      <c r="AG141" s="26"/>
      <c r="AH141" s="26"/>
      <c r="AI141" s="54"/>
    </row>
    <row r="142" spans="1:35" s="14" customFormat="1" ht="16.350000000000001" customHeight="1" x14ac:dyDescent="0.25">
      <c r="A142" s="87"/>
      <c r="B142" s="11"/>
      <c r="C142" s="11"/>
      <c r="D142" s="11"/>
      <c r="E142" s="62"/>
      <c r="F142" s="66"/>
      <c r="G142" s="24"/>
      <c r="H142" s="25"/>
      <c r="I142" s="45"/>
      <c r="J142" s="26"/>
      <c r="K142" s="67"/>
      <c r="L142" s="65"/>
      <c r="M142" s="43"/>
      <c r="N142" s="48"/>
      <c r="O142" s="48"/>
      <c r="P142" s="48"/>
      <c r="Q142" s="48"/>
      <c r="R142" s="48"/>
      <c r="S142" s="48"/>
      <c r="T142" s="48"/>
      <c r="U142" s="48"/>
      <c r="V142" s="53"/>
      <c r="W142" s="26"/>
      <c r="X142" s="26"/>
      <c r="Y142" s="54"/>
      <c r="Z142" s="53" t="str">
        <f t="shared" ref="Z142:AA147" si="6">IF(COUNTIF(AB142:AI142,"x")&gt;0,"x","")</f>
        <v/>
      </c>
      <c r="AA142" s="26" t="str">
        <f t="shared" si="6"/>
        <v/>
      </c>
      <c r="AB142" s="22"/>
      <c r="AC142" s="22"/>
      <c r="AD142" s="26"/>
      <c r="AE142" s="26"/>
      <c r="AF142" s="26"/>
      <c r="AG142" s="26"/>
      <c r="AH142" s="26"/>
      <c r="AI142" s="54"/>
    </row>
    <row r="143" spans="1:35" s="14" customFormat="1" ht="16.350000000000001" customHeight="1" x14ac:dyDescent="0.25">
      <c r="A143" s="87"/>
      <c r="B143" s="11"/>
      <c r="C143" s="11"/>
      <c r="D143" s="11"/>
      <c r="E143" s="62"/>
      <c r="F143" s="66"/>
      <c r="G143" s="24"/>
      <c r="H143" s="25"/>
      <c r="I143" s="45"/>
      <c r="J143" s="26"/>
      <c r="K143" s="67"/>
      <c r="L143" s="65"/>
      <c r="M143" s="43"/>
      <c r="N143" s="48"/>
      <c r="O143" s="48"/>
      <c r="P143" s="48"/>
      <c r="Q143" s="48"/>
      <c r="R143" s="48"/>
      <c r="S143" s="48"/>
      <c r="T143" s="48"/>
      <c r="U143" s="48"/>
      <c r="V143" s="53"/>
      <c r="W143" s="26"/>
      <c r="X143" s="26"/>
      <c r="Y143" s="54"/>
      <c r="Z143" s="53" t="str">
        <f t="shared" si="6"/>
        <v/>
      </c>
      <c r="AA143" s="26" t="str">
        <f t="shared" si="6"/>
        <v/>
      </c>
      <c r="AB143" s="22"/>
      <c r="AC143" s="22"/>
      <c r="AD143" s="26"/>
      <c r="AE143" s="26"/>
      <c r="AF143" s="26"/>
      <c r="AG143" s="26"/>
      <c r="AH143" s="26"/>
      <c r="AI143" s="54"/>
    </row>
    <row r="144" spans="1:35" s="14" customFormat="1" ht="16.350000000000001" customHeight="1" x14ac:dyDescent="0.25">
      <c r="A144" s="87"/>
      <c r="B144" s="11"/>
      <c r="C144" s="11"/>
      <c r="D144" s="11"/>
      <c r="E144" s="62"/>
      <c r="F144" s="66"/>
      <c r="G144" s="24"/>
      <c r="H144" s="25"/>
      <c r="I144" s="45"/>
      <c r="J144" s="26"/>
      <c r="K144" s="67"/>
      <c r="L144" s="65"/>
      <c r="M144" s="43"/>
      <c r="N144" s="48"/>
      <c r="O144" s="48"/>
      <c r="P144" s="48"/>
      <c r="Q144" s="48"/>
      <c r="R144" s="48"/>
      <c r="S144" s="48"/>
      <c r="T144" s="48"/>
      <c r="U144" s="48"/>
      <c r="V144" s="53"/>
      <c r="W144" s="26"/>
      <c r="X144" s="26"/>
      <c r="Y144" s="54"/>
      <c r="Z144" s="53" t="str">
        <f t="shared" si="6"/>
        <v/>
      </c>
      <c r="AA144" s="26" t="str">
        <f t="shared" si="6"/>
        <v/>
      </c>
      <c r="AB144" s="22"/>
      <c r="AC144" s="22"/>
      <c r="AD144" s="26"/>
      <c r="AE144" s="26"/>
      <c r="AF144" s="26"/>
      <c r="AG144" s="26"/>
      <c r="AH144" s="26"/>
      <c r="AI144" s="54"/>
    </row>
    <row r="145" spans="1:35" s="14" customFormat="1" ht="16.350000000000001" customHeight="1" x14ac:dyDescent="0.25">
      <c r="A145" s="87"/>
      <c r="B145" s="11"/>
      <c r="C145" s="11"/>
      <c r="D145" s="11"/>
      <c r="E145" s="62"/>
      <c r="F145" s="66"/>
      <c r="G145" s="24"/>
      <c r="H145" s="25"/>
      <c r="I145" s="45"/>
      <c r="J145" s="26"/>
      <c r="K145" s="67"/>
      <c r="L145" s="65"/>
      <c r="M145" s="43"/>
      <c r="N145" s="48"/>
      <c r="O145" s="48"/>
      <c r="P145" s="48"/>
      <c r="Q145" s="48"/>
      <c r="R145" s="48"/>
      <c r="S145" s="48"/>
      <c r="T145" s="48"/>
      <c r="U145" s="48"/>
      <c r="V145" s="53"/>
      <c r="W145" s="26"/>
      <c r="X145" s="26"/>
      <c r="Y145" s="54"/>
      <c r="Z145" s="53" t="str">
        <f t="shared" si="6"/>
        <v/>
      </c>
      <c r="AA145" s="26" t="str">
        <f t="shared" si="6"/>
        <v/>
      </c>
      <c r="AB145" s="22"/>
      <c r="AC145" s="22"/>
      <c r="AD145" s="26"/>
      <c r="AE145" s="26"/>
      <c r="AF145" s="26"/>
      <c r="AG145" s="26"/>
      <c r="AH145" s="26"/>
      <c r="AI145" s="54"/>
    </row>
    <row r="146" spans="1:35" s="14" customFormat="1" ht="16.350000000000001" customHeight="1" x14ac:dyDescent="0.25">
      <c r="A146" s="87"/>
      <c r="B146" s="11"/>
      <c r="C146" s="11"/>
      <c r="D146" s="11"/>
      <c r="E146" s="62"/>
      <c r="F146" s="66"/>
      <c r="G146" s="24"/>
      <c r="H146" s="25"/>
      <c r="I146" s="45"/>
      <c r="J146" s="26"/>
      <c r="K146" s="67"/>
      <c r="L146" s="65"/>
      <c r="M146" s="43"/>
      <c r="N146" s="48"/>
      <c r="O146" s="48"/>
      <c r="P146" s="48"/>
      <c r="Q146" s="48"/>
      <c r="R146" s="48"/>
      <c r="S146" s="48"/>
      <c r="T146" s="48"/>
      <c r="U146" s="48"/>
      <c r="V146" s="53"/>
      <c r="W146" s="26"/>
      <c r="X146" s="26"/>
      <c r="Y146" s="54"/>
      <c r="Z146" s="53" t="str">
        <f t="shared" si="6"/>
        <v/>
      </c>
      <c r="AA146" s="26" t="str">
        <f t="shared" si="6"/>
        <v/>
      </c>
      <c r="AB146" s="22"/>
      <c r="AC146" s="22"/>
      <c r="AD146" s="26"/>
      <c r="AE146" s="26"/>
      <c r="AF146" s="26"/>
      <c r="AG146" s="26"/>
      <c r="AH146" s="26"/>
      <c r="AI146" s="54"/>
    </row>
    <row r="147" spans="1:35" s="14" customFormat="1" ht="16.350000000000001" customHeight="1" thickBot="1" x14ac:dyDescent="0.3">
      <c r="A147" s="87"/>
      <c r="B147" s="11"/>
      <c r="C147" s="11"/>
      <c r="D147" s="11"/>
      <c r="E147" s="62"/>
      <c r="F147" s="69"/>
      <c r="G147" s="70"/>
      <c r="H147" s="71"/>
      <c r="I147" s="46"/>
      <c r="J147" s="57"/>
      <c r="K147" s="72"/>
      <c r="L147" s="65"/>
      <c r="M147" s="43"/>
      <c r="N147" s="48"/>
      <c r="O147" s="48"/>
      <c r="P147" s="48"/>
      <c r="Q147" s="48"/>
      <c r="R147" s="48"/>
      <c r="S147" s="48"/>
      <c r="T147" s="48"/>
      <c r="U147" s="48"/>
      <c r="V147" s="56"/>
      <c r="W147" s="57"/>
      <c r="X147" s="57"/>
      <c r="Y147" s="58"/>
      <c r="Z147" s="56" t="str">
        <f t="shared" si="6"/>
        <v/>
      </c>
      <c r="AA147" s="57" t="str">
        <f t="shared" si="6"/>
        <v/>
      </c>
      <c r="AB147" s="59"/>
      <c r="AC147" s="59"/>
      <c r="AD147" s="57"/>
      <c r="AE147" s="57"/>
      <c r="AF147" s="57"/>
      <c r="AG147" s="57"/>
      <c r="AH147" s="57"/>
      <c r="AI147" s="58"/>
    </row>
  </sheetData>
  <sheetProtection selectLockedCells="1"/>
  <autoFilter ref="A3:EO89" xr:uid="{E7A14355-357B-4D2C-8BBE-7AB17A4A749A}">
    <filterColumn colId="0">
      <filters blank="1">
        <filter val="Abfallwirtschaft Landratsamt Ortenaukreis"/>
        <filter val="Augenärztin Sine-Höft"/>
        <filter val="Badische Beamtenbank"/>
        <filter val="Bike &amp; Radschopf"/>
        <filter val="Böhringer Fachmetzgerei"/>
        <filter val="Buchbinder Martin Huber"/>
        <filter val="Casa More (früher Vinolivio) Hofweier"/>
        <filter val="Design in Metall"/>
        <filter val="Dr. Spitzmüller Zahnarzt Hofweier"/>
        <filter val="Edeka Kohler"/>
        <filter val="EDEKA Südwest"/>
        <filter val="E-Werk Mittelbaden"/>
        <filter val="F &amp; S Gesellschaft für Dialogmarketing"/>
        <filter val="Fahrschule Isenmann Diersburg"/>
        <filter val="Fahrzeugbau Mueller GmbH"/>
        <filter val="Friseurteam Hofweier"/>
        <filter val="Gasthof Sonne, Niederschopfheim"/>
        <filter val="Gemeinde Hohberg"/>
        <filter val="Gesundheitspraxis Sauvagnat"/>
        <filter val="Goldschmiede- &amp; Uhrenmachermeister Stickel"/>
        <filter val="Haus der Ingenieure"/>
        <filter val="Haustechnik Fischer GmbH"/>
        <filter val="Hautfürsorgezentrum Dr. Degen"/>
        <filter val="Holzbau Mingolla"/>
        <filter val="Holzbau Münchenbach"/>
        <filter val="Holzhandel GmbH Marx"/>
        <filter val="Huber Gebäudetechnik"/>
        <filter val="Intersport Kuhn"/>
        <filter val="Jakob Lauer GmbH - Die Bauverwalter"/>
        <filter val="Klaus Riehle, Württembergische Versicherungen"/>
        <filter val="Löwen-Apotheke Niederschopfheim"/>
        <filter val="Maler und Korrisionsschutzbetrieb Roser"/>
        <filter val="Malerbetrieb Hug"/>
        <filter val="Manpower"/>
        <filter val="Markant"/>
        <filter val="Massagepraxis Velz"/>
        <filter val="Metallbau Ehret GdbR"/>
        <filter val="pps Zeitarbeit"/>
        <filter val="Prohoga"/>
        <filter val="Raumausstattung Spitzmüller"/>
        <filter val="Rosenstiel Fotografie"/>
        <filter val="Rössle-Apotheke"/>
        <filter val="Schornsteinfeger Michael Malutzki"/>
        <filter val="Schreinerei Röderer (Inh. Horst Grafmüller)"/>
        <filter val="Schreinerfachbetrieb Stefan Hogenmüller"/>
        <filter val="Schwarzwalsprudel"/>
        <filter val="Sparkasse Offenburg / Ortenau"/>
        <filter val="Thorsten Jung Karosseriebauer"/>
        <filter val="TT-Xpert"/>
        <filter val="Volker Gallus (Rechtsanwald / Steuerberater)"/>
        <filter val="Volksbank Lahr eG"/>
        <filter val="Vollmer KFZ-Werkstatt"/>
        <filter val="VW Allgeier"/>
        <filter val="Weimer Transporte"/>
      </filters>
    </filterColumn>
    <filterColumn colId="4">
      <filters blank="1">
        <filter val="Adelbert Bußhardt"/>
        <filter val="Alexander Prinzbach"/>
        <filter val="Aljoscha Gühr"/>
        <filter val="Anja &amp; Olli Bächle"/>
        <filter val="Carsten Höft"/>
        <filter val="Cordula Bußhardt"/>
        <filter val="Edmund Feißt"/>
        <filter val="Fabian Eichner"/>
        <filter val="Jonas Degen"/>
        <filter val="Martin Kappel"/>
        <filter val="Michael Feißt"/>
        <filter val="Monja Dietz"/>
        <filter val="Rainer Rudolf"/>
        <filter val="Raphael Becker"/>
        <filter val="Steffen Ehret"/>
        <filter val="Thomas Huck"/>
        <filter val="Thomas Vergin"/>
        <filter val="Werner Herr"/>
        <filter val="Wolfgang Heinzelmann"/>
      </filters>
    </filterColumn>
    <filterColumn colId="5">
      <filters blank="1"/>
    </filterColumn>
    <sortState xmlns:xlrd2="http://schemas.microsoft.com/office/spreadsheetml/2017/richdata2" ref="A4:AI89">
      <sortCondition ref="E3:E89"/>
    </sortState>
  </autoFilter>
  <phoneticPr fontId="0" type="noConversion"/>
  <conditionalFormatting sqref="F4:F147">
    <cfRule type="cellIs" dxfId="3" priority="4" operator="equal">
      <formula>"x"</formula>
    </cfRule>
  </conditionalFormatting>
  <conditionalFormatting sqref="I4:I147">
    <cfRule type="cellIs" dxfId="2" priority="2" operator="equal">
      <formula>"N"</formula>
    </cfRule>
    <cfRule type="cellIs" dxfId="1" priority="3" operator="equal">
      <formula>"J"</formula>
    </cfRule>
  </conditionalFormatting>
  <conditionalFormatting sqref="W4:W147">
    <cfRule type="cellIs" dxfId="0" priority="1" operator="equal">
      <formula>"x"</formula>
    </cfRule>
  </conditionalFormatting>
  <hyperlinks>
    <hyperlink ref="C17" r:id="rId1" xr:uid="{00000000-0004-0000-0000-000000000000}"/>
    <hyperlink ref="C18" r:id="rId2" xr:uid="{00000000-0004-0000-0000-000001000000}"/>
    <hyperlink ref="C69" r:id="rId3" xr:uid="{00000000-0004-0000-0000-000002000000}"/>
    <hyperlink ref="C16" r:id="rId4" xr:uid="{00000000-0004-0000-0000-000003000000}"/>
    <hyperlink ref="C68" r:id="rId5" xr:uid="{00000000-0004-0000-0000-000004000000}"/>
    <hyperlink ref="C19" r:id="rId6" xr:uid="{00000000-0004-0000-0000-000005000000}"/>
    <hyperlink ref="C20" r:id="rId7" xr:uid="{00000000-0004-0000-0000-000006000000}"/>
    <hyperlink ref="C48" r:id="rId8" xr:uid="{00000000-0004-0000-0000-000007000000}"/>
    <hyperlink ref="C30" r:id="rId9" xr:uid="{00000000-0004-0000-0000-000008000000}"/>
    <hyperlink ref="C39" r:id="rId10" xr:uid="{00000000-0004-0000-0000-000009000000}"/>
    <hyperlink ref="C31" r:id="rId11" xr:uid="{00000000-0004-0000-0000-00000A000000}"/>
    <hyperlink ref="C59" r:id="rId12" xr:uid="{00000000-0004-0000-0000-00000B000000}"/>
    <hyperlink ref="C64" r:id="rId13" xr:uid="{00000000-0004-0000-0000-00000C000000}"/>
    <hyperlink ref="C53" r:id="rId14" xr:uid="{00000000-0004-0000-0000-00000D000000}"/>
    <hyperlink ref="C28" r:id="rId15" xr:uid="{00000000-0004-0000-0000-00000E000000}"/>
    <hyperlink ref="C33" r:id="rId16" xr:uid="{00000000-0004-0000-0000-00000F000000}"/>
    <hyperlink ref="C14" r:id="rId17" xr:uid="{00000000-0004-0000-0000-000010000000}"/>
    <hyperlink ref="C11" r:id="rId18" xr:uid="{00000000-0004-0000-0000-000011000000}"/>
    <hyperlink ref="C21" r:id="rId19" xr:uid="{00000000-0004-0000-0000-000012000000}"/>
    <hyperlink ref="C47" r:id="rId20" xr:uid="{00000000-0004-0000-0000-000014000000}"/>
    <hyperlink ref="C43" r:id="rId21" xr:uid="{00000000-0004-0000-0000-000015000000}"/>
    <hyperlink ref="C13" r:id="rId22" xr:uid="{00000000-0004-0000-0000-000016000000}"/>
    <hyperlink ref="C36" r:id="rId23" xr:uid="{00000000-0004-0000-0000-000017000000}"/>
    <hyperlink ref="C61" r:id="rId24" xr:uid="{00000000-0004-0000-0000-000018000000}"/>
    <hyperlink ref="C12" r:id="rId25" xr:uid="{00000000-0004-0000-0000-000019000000}"/>
    <hyperlink ref="C10" r:id="rId26" xr:uid="{00000000-0004-0000-0000-00001A000000}"/>
    <hyperlink ref="C23" r:id="rId27" xr:uid="{00000000-0004-0000-0000-00001B000000}"/>
    <hyperlink ref="C44" r:id="rId28" xr:uid="{00000000-0004-0000-0000-00001C000000}"/>
    <hyperlink ref="C41" r:id="rId29" xr:uid="{00000000-0004-0000-0000-00001D000000}"/>
    <hyperlink ref="C8" r:id="rId30" xr:uid="{00000000-0004-0000-0000-00001E000000}"/>
    <hyperlink ref="C5" r:id="rId31" xr:uid="{00000000-0004-0000-0000-00001F000000}"/>
    <hyperlink ref="C62" r:id="rId32" xr:uid="{00000000-0004-0000-0000-000020000000}"/>
    <hyperlink ref="C60" r:id="rId33" xr:uid="{00000000-0004-0000-0000-000021000000}"/>
    <hyperlink ref="D50" r:id="rId34" display="https://adresse.gelbeseiten.de/101016609808/wuerttembergische-versicherung-klaus-riehle/hohberg/hofweier" xr:uid="{00000000-0004-0000-0000-000022000000}"/>
    <hyperlink ref="C37" r:id="rId35" xr:uid="{00000000-0004-0000-0000-000023000000}"/>
    <hyperlink ref="A37" r:id="rId36" xr:uid="{00000000-0004-0000-0000-000024000000}"/>
    <hyperlink ref="A6" r:id="rId37" display="Goldschmiede Stickel" xr:uid="{00000000-0004-0000-0000-000025000000}"/>
    <hyperlink ref="C70" r:id="rId38" xr:uid="{00000000-0004-0000-0000-000026000000}"/>
    <hyperlink ref="C35" r:id="rId39" xr:uid="{00000000-0004-0000-0000-000027000000}"/>
    <hyperlink ref="C55" r:id="rId40" xr:uid="{00000000-0004-0000-0000-000028000000}"/>
    <hyperlink ref="C26" r:id="rId41" xr:uid="{00000000-0004-0000-0000-000029000000}"/>
    <hyperlink ref="A15" r:id="rId42" display="Sine Höft (Augenärztin)" xr:uid="{00000000-0004-0000-0000-00002A000000}"/>
    <hyperlink ref="C15" r:id="rId43" xr:uid="{00000000-0004-0000-0000-00002B000000}"/>
    <hyperlink ref="A69" r:id="rId44" xr:uid="{00000000-0004-0000-0000-00002C000000}"/>
    <hyperlink ref="C25" r:id="rId45" xr:uid="{00000000-0004-0000-0000-00002D000000}"/>
    <hyperlink ref="C27" r:id="rId46" xr:uid="{00000000-0004-0000-0000-00002E000000}"/>
    <hyperlink ref="A38" r:id="rId47" xr:uid="{00000000-0004-0000-0000-00002F000000}"/>
    <hyperlink ref="C22" r:id="rId48" xr:uid="{00000000-0004-0000-0000-000030000000}"/>
    <hyperlink ref="C38" r:id="rId49" xr:uid="{00000000-0004-0000-0000-000031000000}"/>
    <hyperlink ref="C57" r:id="rId50" xr:uid="{00000000-0004-0000-0000-000032000000}"/>
    <hyperlink ref="C46" r:id="rId51" xr:uid="{00000000-0004-0000-0000-000033000000}"/>
    <hyperlink ref="C6" r:id="rId52" xr:uid="{00000000-0004-0000-0000-000034000000}"/>
    <hyperlink ref="C42" r:id="rId53" xr:uid="{00000000-0004-0000-0000-000035000000}"/>
    <hyperlink ref="C32" r:id="rId54" xr:uid="{00000000-0004-0000-0000-000036000000}"/>
    <hyperlink ref="C58" r:id="rId55" xr:uid="{A54A3878-7688-4B7D-9D44-81EE1CF66516}"/>
    <hyperlink ref="C29" r:id="rId56" xr:uid="{421C0CC5-412A-4187-A3BA-8AD07561473E}"/>
    <hyperlink ref="C65" r:id="rId57" xr:uid="{F5C55A8D-23BB-4897-8CBE-AA81130A9260}"/>
    <hyperlink ref="C67" r:id="rId58" xr:uid="{2FAEEC18-9216-47F0-9811-F345CDDFC056}"/>
    <hyperlink ref="C24" r:id="rId59" xr:uid="{A0C42F37-DB8F-49EA-A0C2-3F4105855C0D}"/>
    <hyperlink ref="C66" r:id="rId60" xr:uid="{6D14F36C-48C3-4E62-9CB6-ED66A1E7B494}"/>
    <hyperlink ref="C45" r:id="rId61" xr:uid="{0D3FC9CA-0774-4137-8663-877B0A56001F}"/>
  </hyperlinks>
  <pageMargins left="0.35433070866141736" right="0.35433070866141736" top="0.31496062992125984" bottom="0.55118110236220474" header="0.23622047244094491" footer="0.31496062992125984"/>
  <pageSetup paperSize="9" scale="95" fitToHeight="0" orientation="landscape" r:id="rId62"/>
  <headerFooter>
    <oddFooter>&amp;LTTSF Hohberg - T.Huck (Stand: &amp;D)&amp;C&amp;F&amp;R&amp;P von &amp;N</oddFooter>
  </headerFooter>
  <legacyDrawing r:id="rId6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30"/>
  <sheetViews>
    <sheetView workbookViewId="0">
      <selection activeCell="C7" sqref="C7"/>
    </sheetView>
  </sheetViews>
  <sheetFormatPr baseColWidth="10" defaultRowHeight="15" x14ac:dyDescent="0.25"/>
  <cols>
    <col min="1" max="6" width="20.7109375" customWidth="1"/>
  </cols>
  <sheetData>
    <row r="1" spans="1:4" x14ac:dyDescent="0.25">
      <c r="A1" s="2" t="s">
        <v>0</v>
      </c>
      <c r="B1" s="2" t="s">
        <v>11</v>
      </c>
      <c r="C1" s="2" t="s">
        <v>12</v>
      </c>
      <c r="D1" s="2" t="s">
        <v>12</v>
      </c>
    </row>
    <row r="2" spans="1:4" x14ac:dyDescent="0.25">
      <c r="A2" s="3"/>
      <c r="B2" s="3"/>
      <c r="C2" s="7"/>
      <c r="D2" s="7"/>
    </row>
    <row r="3" spans="1:4" x14ac:dyDescent="0.25">
      <c r="A3" s="4" t="s">
        <v>1</v>
      </c>
      <c r="B3" s="4" t="s">
        <v>3</v>
      </c>
      <c r="C3" s="8" t="s">
        <v>4</v>
      </c>
      <c r="D3" s="8" t="s">
        <v>17</v>
      </c>
    </row>
    <row r="4" spans="1:4" x14ac:dyDescent="0.25">
      <c r="A4" s="4" t="s">
        <v>2</v>
      </c>
      <c r="B4" s="4" t="s">
        <v>4</v>
      </c>
      <c r="C4" s="8" t="s">
        <v>5</v>
      </c>
      <c r="D4" s="8" t="s">
        <v>14</v>
      </c>
    </row>
    <row r="5" spans="1:4" x14ac:dyDescent="0.25">
      <c r="A5" s="4" t="s">
        <v>13</v>
      </c>
      <c r="B5" s="4" t="s">
        <v>5</v>
      </c>
      <c r="C5" s="8" t="s">
        <v>3</v>
      </c>
      <c r="D5" s="8" t="s">
        <v>16</v>
      </c>
    </row>
    <row r="6" spans="1:4" x14ac:dyDescent="0.25">
      <c r="A6" s="4" t="s">
        <v>18</v>
      </c>
      <c r="B6" s="8" t="s">
        <v>6</v>
      </c>
      <c r="C6" s="9" t="s">
        <v>6</v>
      </c>
      <c r="D6" s="9" t="s">
        <v>15</v>
      </c>
    </row>
    <row r="7" spans="1:4" x14ac:dyDescent="0.25">
      <c r="A7" s="5"/>
      <c r="B7" s="8" t="s">
        <v>7</v>
      </c>
    </row>
    <row r="8" spans="1:4" x14ac:dyDescent="0.25">
      <c r="A8" s="5"/>
      <c r="B8" s="8" t="s">
        <v>8</v>
      </c>
    </row>
    <row r="9" spans="1:4" x14ac:dyDescent="0.25">
      <c r="A9" s="5"/>
      <c r="B9" s="8" t="s">
        <v>9</v>
      </c>
    </row>
    <row r="10" spans="1:4" x14ac:dyDescent="0.25">
      <c r="A10" s="6"/>
      <c r="B10" s="9" t="s">
        <v>10</v>
      </c>
    </row>
    <row r="11" spans="1:4" x14ac:dyDescent="0.25">
      <c r="B11" s="1"/>
    </row>
    <row r="12" spans="1:4" x14ac:dyDescent="0.25">
      <c r="B12" s="1"/>
    </row>
    <row r="13" spans="1:4" x14ac:dyDescent="0.25">
      <c r="B13" s="1"/>
    </row>
    <row r="14" spans="1:4" x14ac:dyDescent="0.25">
      <c r="B14" s="1"/>
    </row>
    <row r="15" spans="1:4" x14ac:dyDescent="0.25">
      <c r="B15" s="1"/>
    </row>
    <row r="16" spans="1:4" x14ac:dyDescent="0.25">
      <c r="B16" s="1"/>
    </row>
    <row r="17" spans="2:2" x14ac:dyDescent="0.25">
      <c r="B17" s="1"/>
    </row>
    <row r="18" spans="2:2" x14ac:dyDescent="0.25">
      <c r="B18" s="1"/>
    </row>
    <row r="19" spans="2:2" x14ac:dyDescent="0.25">
      <c r="B19" s="1"/>
    </row>
    <row r="20" spans="2:2" x14ac:dyDescent="0.25">
      <c r="B20" s="1"/>
    </row>
    <row r="21" spans="2:2" x14ac:dyDescent="0.25">
      <c r="B21" s="1"/>
    </row>
    <row r="22" spans="2:2" x14ac:dyDescent="0.25">
      <c r="B22" s="1"/>
    </row>
    <row r="23" spans="2:2" x14ac:dyDescent="0.25">
      <c r="B23" s="1"/>
    </row>
    <row r="24" spans="2:2" x14ac:dyDescent="0.25">
      <c r="B24" s="1"/>
    </row>
    <row r="25" spans="2:2" x14ac:dyDescent="0.25">
      <c r="B25" s="1"/>
    </row>
    <row r="26" spans="2:2" x14ac:dyDescent="0.25">
      <c r="B26" s="1"/>
    </row>
    <row r="27" spans="2:2" x14ac:dyDescent="0.25">
      <c r="B27" s="1"/>
    </row>
    <row r="28" spans="2:2" x14ac:dyDescent="0.25">
      <c r="B28" s="1"/>
    </row>
    <row r="29" spans="2:2" x14ac:dyDescent="0.25">
      <c r="B29" s="1"/>
    </row>
    <row r="30" spans="2:2" x14ac:dyDescent="0.25">
      <c r="B30" s="1"/>
    </row>
  </sheetData>
  <phoneticPr fontId="0" type="noConversion"/>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5C188FC694002F478D6E4554CA286D4D" ma:contentTypeVersion="0" ma:contentTypeDescription="Ein neues Dokument erstellen." ma:contentTypeScope="" ma:versionID="5c9b1db0f518dc8ed2f34e5f7d7fb590">
  <xsd:schema xmlns:xsd="http://www.w3.org/2001/XMLSchema" xmlns:p="http://schemas.microsoft.com/office/2006/metadata/properties" targetNamespace="http://schemas.microsoft.com/office/2006/metadata/properties" ma:root="true" ma:fieldsID="b1aa11a7adb61fb1eb49efd6af228b29">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ma:readOnly="tru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E6D4C2-81D2-4B16-BB47-7C0107255C9D}">
  <ds:schemaRefs>
    <ds:schemaRef ds:uri="http://purl.org/dc/dcmitype/"/>
    <ds:schemaRef ds:uri="http://www.w3.org/XML/1998/namespace"/>
    <ds:schemaRef ds:uri="http://schemas.microsoft.com/office/2006/metadata/properties"/>
    <ds:schemaRef ds:uri="http://purl.org/dc/term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56FB5C9C-1759-44D1-8C7F-B6A48B537A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7640DEC-3AD4-4E6B-B5DC-7607962AAC6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5</vt:i4>
      </vt:variant>
    </vt:vector>
  </HeadingPairs>
  <TitlesOfParts>
    <vt:vector size="7" baseType="lpstr">
      <vt:lpstr>Protokoll</vt:lpstr>
      <vt:lpstr>Listen</vt:lpstr>
      <vt:lpstr>Buchung</vt:lpstr>
      <vt:lpstr>Protokoll!Druckbereich</vt:lpstr>
      <vt:lpstr>Personen</vt:lpstr>
      <vt:lpstr>status</vt:lpstr>
      <vt:lpstr>Trainingsart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2006-09-21T08:52:22Z</dcterms:created>
  <dcterms:modified xsi:type="dcterms:W3CDTF">2020-07-01T02:31:58Z</dcterms:modified>
</cp:coreProperties>
</file>